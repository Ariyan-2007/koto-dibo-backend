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6" sheetId="1" r:id="rId5"/>
    <sheet state="visible" name="February 2026" sheetId="2" r:id="rId6"/>
    <sheet state="visible" name="March 2026" sheetId="3" r:id="rId7"/>
    <sheet state="visible" name="April 2026" sheetId="4" r:id="rId8"/>
    <sheet state="visible" name="May 2026" sheetId="5" r:id="rId9"/>
    <sheet state="visible" name="June 2026" sheetId="6" r:id="rId10"/>
    <sheet state="visible" name="July 2026" sheetId="7" r:id="rId11"/>
  </sheets>
  <definedNames/>
  <calcPr/>
</workbook>
</file>

<file path=xl/sharedStrings.xml><?xml version="1.0" encoding="utf-8"?>
<sst xmlns="http://schemas.openxmlformats.org/spreadsheetml/2006/main" count="759" uniqueCount="176">
  <si>
    <t>Meal Calculation - Food</t>
  </si>
  <si>
    <t>Shopping Calculation</t>
  </si>
  <si>
    <t>Shopping Wallet Status</t>
  </si>
  <si>
    <t>Meal Rate</t>
  </si>
  <si>
    <t>Meal Calculation - Money</t>
  </si>
  <si>
    <t>Date</t>
  </si>
  <si>
    <t>Ariyan</t>
  </si>
  <si>
    <t>Waythin</t>
  </si>
  <si>
    <t>Raju</t>
  </si>
  <si>
    <t>Rabiul</t>
  </si>
  <si>
    <t>Ayon</t>
  </si>
  <si>
    <t>Rihan</t>
  </si>
  <si>
    <t>Safar</t>
  </si>
  <si>
    <t>Umid</t>
  </si>
  <si>
    <t>Tanvir</t>
  </si>
  <si>
    <t>Sakib</t>
  </si>
  <si>
    <t>Amount</t>
  </si>
  <si>
    <t>Responsible</t>
  </si>
  <si>
    <t>Nafis</t>
  </si>
  <si>
    <t>Note</t>
  </si>
  <si>
    <t>Name</t>
  </si>
  <si>
    <t>Required</t>
  </si>
  <si>
    <t>Meal</t>
  </si>
  <si>
    <t>Total Cost</t>
  </si>
  <si>
    <t>Received</t>
  </si>
  <si>
    <t>Give/Take</t>
  </si>
  <si>
    <t>Last Month Leftover</t>
  </si>
  <si>
    <t>Egg + Veggies</t>
  </si>
  <si>
    <t>Ariyan + Safar</t>
  </si>
  <si>
    <t>Last Month Leftover + Rice + Iftari + Chicken</t>
  </si>
  <si>
    <t>Rice + Chicken + Veggies</t>
  </si>
  <si>
    <t>Ariyan + Rihan</t>
  </si>
  <si>
    <t>Iftar + Egg + Onion</t>
  </si>
  <si>
    <t>Oil + Masala + Ginger + Onion</t>
  </si>
  <si>
    <t>Monthly</t>
  </si>
  <si>
    <t>Safar + Rihan</t>
  </si>
  <si>
    <t>Iftar + Chicken</t>
  </si>
  <si>
    <t>Rihan + Safar</t>
  </si>
  <si>
    <t>Chicken</t>
  </si>
  <si>
    <t>Veggies</t>
  </si>
  <si>
    <t>Iftar + Meal</t>
  </si>
  <si>
    <t>Egg</t>
  </si>
  <si>
    <t>Fish + Spices + Veggies + Oil</t>
  </si>
  <si>
    <t>Rabiul + Ariyan</t>
  </si>
  <si>
    <t>Fish + Rice</t>
  </si>
  <si>
    <t>Iftar</t>
  </si>
  <si>
    <t>Total</t>
  </si>
  <si>
    <t>Rice + Oil + Eggs</t>
  </si>
  <si>
    <t>Chicken + Vegetables</t>
  </si>
  <si>
    <t>Nafis + Rihan</t>
  </si>
  <si>
    <t>Chicken + Veg</t>
  </si>
  <si>
    <t>Chicken + Veggies</t>
  </si>
  <si>
    <t>Vim</t>
  </si>
  <si>
    <t>Milk + Banana + Onions + Salad</t>
  </si>
  <si>
    <t>Fish</t>
  </si>
  <si>
    <t xml:space="preserve">Chicken + Veggies + Chillies </t>
  </si>
  <si>
    <t>Chilli</t>
  </si>
  <si>
    <t>Ariyan + Sakib +Rihan</t>
  </si>
  <si>
    <r>
      <rPr>
        <rFont val="Arial"/>
        <b/>
        <color rgb="FFFF0000"/>
      </rPr>
      <t>*</t>
    </r>
    <r>
      <rPr>
        <rFont val="Arial"/>
        <color theme="1"/>
      </rPr>
      <t xml:space="preserve"> Chola, Muri, Beshon, Dal, Masala, Mustard Oil</t>
    </r>
  </si>
  <si>
    <t>Eggs</t>
  </si>
  <si>
    <t xml:space="preserve">Chicken + Egg </t>
  </si>
  <si>
    <t>Waythin + Rihan</t>
  </si>
  <si>
    <t>Oil</t>
  </si>
  <si>
    <t>Safar + Nafis</t>
  </si>
  <si>
    <t>Fish + Veggies</t>
  </si>
  <si>
    <t>Chicken + Fish</t>
  </si>
  <si>
    <t>Onion</t>
  </si>
  <si>
    <t>Rihan + Sakib</t>
  </si>
  <si>
    <t>Safar + Sakib</t>
  </si>
  <si>
    <r>
      <rPr>
        <rFont val="Arial"/>
        <color rgb="FFFF0000"/>
      </rPr>
      <t>*</t>
    </r>
    <r>
      <rPr>
        <rFont val="Arial"/>
        <color theme="1"/>
      </rPr>
      <t xml:space="preserve"> Beguni, Chola, Burinda, Jilapi</t>
    </r>
  </si>
  <si>
    <t>Nafis + Tanvir + Safar + Waythin</t>
  </si>
  <si>
    <t>Ariyan + Rabiul</t>
  </si>
  <si>
    <t>Chicken + Veggies + Shutki</t>
  </si>
  <si>
    <r>
      <rPr>
        <rFont val="Arial"/>
        <color rgb="FFFF0000"/>
      </rPr>
      <t>*</t>
    </r>
    <r>
      <rPr>
        <rFont val="Arial"/>
        <color theme="1"/>
      </rPr>
      <t xml:space="preserve"> Beguni , Pakora , Jilapi , Fruits</t>
    </r>
  </si>
  <si>
    <t>Chicken + Masala + Onion/Garlic/Ginger</t>
  </si>
  <si>
    <t xml:space="preserve">Chicken + Veggies </t>
  </si>
  <si>
    <r>
      <rPr>
        <rFont val="Arial"/>
        <color rgb="FFFF0000"/>
      </rPr>
      <t>*</t>
    </r>
    <r>
      <rPr>
        <rFont val="Arial"/>
        <color theme="1"/>
      </rPr>
      <t xml:space="preserve"> Beguni , Roll , Apples</t>
    </r>
  </si>
  <si>
    <t>Rabiul+Ariyan</t>
  </si>
  <si>
    <t xml:space="preserve">Masala + Eggs </t>
  </si>
  <si>
    <r>
      <rPr>
        <rFont val="Arial"/>
        <color rgb="FFFF0000"/>
      </rPr>
      <t>*</t>
    </r>
    <r>
      <rPr>
        <rFont val="Arial"/>
        <color theme="1"/>
      </rPr>
      <t xml:space="preserve"> Chola , Piyaju , Kabab , Porota, Jilapi</t>
    </r>
  </si>
  <si>
    <t>Veg</t>
  </si>
  <si>
    <t>Rabiul + Ariyan + Sakib</t>
  </si>
  <si>
    <t xml:space="preserve">Fish + Veggies </t>
  </si>
  <si>
    <t>Chicken + Masala + Veggies</t>
  </si>
  <si>
    <t xml:space="preserve"> Egg + Potato + Veggies</t>
  </si>
  <si>
    <t>Oil + Chillies</t>
  </si>
  <si>
    <t>Leftover</t>
  </si>
  <si>
    <t>Ariyan+Rihan</t>
  </si>
  <si>
    <t>Ariyan+ Rihan+ Sakib</t>
  </si>
  <si>
    <t>Chicken + Sugar</t>
  </si>
  <si>
    <t>BDT</t>
  </si>
  <si>
    <t>Balance</t>
  </si>
  <si>
    <t>Chillies</t>
  </si>
  <si>
    <t>Rihan + Ariyan</t>
  </si>
  <si>
    <r>
      <rPr>
        <rFont val="Arial"/>
        <color rgb="FFFF0000"/>
      </rPr>
      <t>*</t>
    </r>
    <r>
      <rPr>
        <rFont val="Arial"/>
        <color theme="1"/>
      </rPr>
      <t xml:space="preserve"> Doi, Kola, Muri , Chira, Lebu , Gajor, Shosha</t>
    </r>
  </si>
  <si>
    <r>
      <rPr>
        <rFont val="Arial"/>
        <color rgb="FFFF0000"/>
      </rPr>
      <t>*</t>
    </r>
    <r>
      <rPr>
        <rFont val="Arial"/>
        <color theme="1"/>
      </rPr>
      <t xml:space="preserve"> Jilapi + Ispi + Egg + Piyaju + Tomato</t>
    </r>
  </si>
  <si>
    <r>
      <rPr>
        <rFont val="Arial"/>
        <color rgb="FFFF0000"/>
      </rPr>
      <t>*</t>
    </r>
    <r>
      <rPr>
        <rFont val="Arial"/>
        <color theme="1"/>
      </rPr>
      <t xml:space="preserve"> Noodles + Kola + Peyaj + Kumra + Jilapi + Alu</t>
    </r>
  </si>
  <si>
    <t>Chicken + OIL + Veggies</t>
  </si>
  <si>
    <t xml:space="preserve">* Ramadan Bazar </t>
  </si>
  <si>
    <t>Electricity Calculation</t>
  </si>
  <si>
    <t>Utility List</t>
  </si>
  <si>
    <t>Utility Calculation</t>
  </si>
  <si>
    <t>Flat</t>
  </si>
  <si>
    <t>Member</t>
  </si>
  <si>
    <t>AC - Unit</t>
  </si>
  <si>
    <t>AC - Cost</t>
  </si>
  <si>
    <t>Normal - Unit</t>
  </si>
  <si>
    <t>Normal - Cost</t>
  </si>
  <si>
    <t>Sameer</t>
  </si>
  <si>
    <t>( Total Cost / Person) + VAT</t>
  </si>
  <si>
    <t>Tahmid</t>
  </si>
  <si>
    <t>Amount +1</t>
  </si>
  <si>
    <t>Members</t>
  </si>
  <si>
    <t>Payable</t>
  </si>
  <si>
    <t>Paid</t>
  </si>
  <si>
    <t>Due</t>
  </si>
  <si>
    <t>Flat 10/B</t>
  </si>
  <si>
    <t>Electricity</t>
  </si>
  <si>
    <t>Chicken + Rice</t>
  </si>
  <si>
    <t>`</t>
  </si>
  <si>
    <t>Maid</t>
  </si>
  <si>
    <t>Garlic</t>
  </si>
  <si>
    <t>Waythin + Safar</t>
  </si>
  <si>
    <t>Vegetable + Maintainence</t>
  </si>
  <si>
    <t>Trash</t>
  </si>
  <si>
    <t>Flat 10/C</t>
  </si>
  <si>
    <t>Vegetable + Chicken + Fish</t>
  </si>
  <si>
    <t>Wifi</t>
  </si>
  <si>
    <t>Gas</t>
  </si>
  <si>
    <t>Safar + Tanvir</t>
  </si>
  <si>
    <t>Veg + Fish + Chicken</t>
  </si>
  <si>
    <t>Ariyan + Waythin</t>
  </si>
  <si>
    <t>Aiman</t>
  </si>
  <si>
    <t>Chicken + Egg</t>
  </si>
  <si>
    <t>E</t>
  </si>
  <si>
    <t>Fish Chicken Veggies</t>
  </si>
  <si>
    <t>M</t>
  </si>
  <si>
    <t>Pandamart + Ariyan</t>
  </si>
  <si>
    <t>Rice Onion Potato Masala Chicken</t>
  </si>
  <si>
    <t>Veggies Egg</t>
  </si>
  <si>
    <t>W</t>
  </si>
  <si>
    <t>Waythin + Tanvir</t>
  </si>
  <si>
    <t>Egg+Potato+Chicken+Veggies</t>
  </si>
  <si>
    <t>Veggies + Rice</t>
  </si>
  <si>
    <t>Chicken + Fish + Veggies</t>
  </si>
  <si>
    <t>Chicken Fish Veg</t>
  </si>
  <si>
    <t>Safar Total</t>
  </si>
  <si>
    <t>Rice + Egg</t>
  </si>
  <si>
    <t>Waythin Total</t>
  </si>
  <si>
    <t xml:space="preserve">Tanvir </t>
  </si>
  <si>
    <t>Vegetables Chicken</t>
  </si>
  <si>
    <t>Oil Rice Masala</t>
  </si>
  <si>
    <t>Per Person</t>
  </si>
  <si>
    <t>Chicken + Vegetable</t>
  </si>
  <si>
    <t>Vegetable</t>
  </si>
  <si>
    <t>Fish + Chicken + Veggies</t>
  </si>
  <si>
    <t>Cylinder</t>
  </si>
  <si>
    <t>Penalty</t>
  </si>
  <si>
    <t>Bua</t>
  </si>
  <si>
    <t xml:space="preserve">Wifi </t>
  </si>
  <si>
    <t>Total ( Without Electricity )</t>
  </si>
  <si>
    <t>First Half</t>
  </si>
  <si>
    <t>Second Half</t>
  </si>
  <si>
    <t>[Ariyan, Rihan, Ayon, Waythin]</t>
  </si>
  <si>
    <t>Third Half</t>
  </si>
  <si>
    <t>Ayon + Rihan + Pandamart</t>
  </si>
  <si>
    <t>Fish Chicken Rice Dal Egg</t>
  </si>
  <si>
    <t>[Mahir, Tahmid]</t>
  </si>
  <si>
    <t>Mahir</t>
  </si>
  <si>
    <t>PERSON</t>
  </si>
  <si>
    <t>UTILITY COST</t>
  </si>
  <si>
    <t>10B Electricity Cost</t>
  </si>
  <si>
    <t>Waythin Electricity Cost</t>
  </si>
  <si>
    <t>ELECTRICITY BILL SPLIT</t>
  </si>
  <si>
    <t>Safar Electricity Cost</t>
  </si>
  <si>
    <t>10C Electricity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</si>
</sst>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0.0"/>
      <color rgb="FF000000"/>
      <name val="Arial"/>
      <scheme val="minor"/>
    </font>
    <font>
      <b/>
      <sz val="20.0"/>
      <color theme="1"/>
      <name val="Times New Roman"/>
    </font>
    <font/>
    <font>
      <b/>
      <sz val="12.0"/>
      <color theme="1"/>
      <name val="Arial"/>
      <scheme val="minor"/>
    </font>
    <font>
      <color theme="1"/>
      <name val="Arial"/>
      <scheme val="minor"/>
    </font>
    <font>
      <b/>
      <sz val="15.0"/>
      <color rgb="FFFFFFFF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b/>
      <color theme="1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4" fillId="2" fontId="3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2" fontId="4" numFmtId="0" xfId="0" applyBorder="1" applyFont="1"/>
    <xf borderId="4" fillId="2" fontId="4" numFmtId="0" xfId="0" applyAlignment="1" applyBorder="1" applyFont="1">
      <alignment readingOrder="0"/>
    </xf>
    <xf borderId="4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4" fillId="4" fontId="5" numFmtId="0" xfId="0" applyAlignment="1" applyBorder="1" applyFill="1" applyFont="1">
      <alignment horizontal="center"/>
    </xf>
    <xf borderId="4" fillId="2" fontId="4" numFmtId="164" xfId="0" applyAlignment="1" applyBorder="1" applyFont="1" applyNumberFormat="1">
      <alignment horizontal="center" readingOrder="0"/>
    </xf>
    <xf borderId="4" fillId="3" fontId="4" numFmtId="164" xfId="0" applyAlignment="1" applyBorder="1" applyFont="1" applyNumberFormat="1">
      <alignment horizontal="center" readingOrder="0"/>
    </xf>
    <xf borderId="1" fillId="3" fontId="4" numFmtId="0" xfId="0" applyBorder="1" applyFont="1"/>
    <xf borderId="4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/>
    </xf>
    <xf borderId="4" fillId="2" fontId="6" numFmtId="0" xfId="0" applyAlignment="1" applyBorder="1" applyFont="1">
      <alignment horizontal="center" readingOrder="0"/>
    </xf>
    <xf borderId="1" fillId="3" fontId="4" numFmtId="0" xfId="0" applyAlignment="1" applyBorder="1" applyFont="1">
      <alignment readingOrder="0"/>
    </xf>
    <xf borderId="5" fillId="2" fontId="4" numFmtId="164" xfId="0" applyAlignment="1" applyBorder="1" applyFont="1" applyNumberFormat="1">
      <alignment horizontal="center" readingOrder="0" vertical="center"/>
    </xf>
    <xf borderId="5" fillId="3" fontId="4" numFmtId="164" xfId="0" applyAlignment="1" applyBorder="1" applyFont="1" applyNumberFormat="1">
      <alignment horizontal="center" readingOrder="0" vertical="center"/>
    </xf>
    <xf borderId="6" fillId="0" fontId="2" numFmtId="0" xfId="0" applyBorder="1" applyFont="1"/>
    <xf borderId="4" fillId="2" fontId="6" numFmtId="0" xfId="0" applyBorder="1" applyFont="1"/>
    <xf borderId="1" fillId="3" fontId="3" numFmtId="0" xfId="0" applyBorder="1" applyFont="1"/>
    <xf borderId="4" fillId="3" fontId="6" numFmtId="0" xfId="0" applyAlignment="1" applyBorder="1" applyFont="1">
      <alignment horizontal="center" readingOrder="0"/>
    </xf>
    <xf borderId="0" fillId="0" fontId="6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2" fontId="1" numFmtId="0" xfId="0" applyAlignment="1" applyBorder="1" applyFont="1">
      <alignment horizontal="center" readingOrder="0" vertical="bottom"/>
    </xf>
    <xf borderId="4" fillId="2" fontId="8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7" fillId="0" fontId="2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4" fillId="0" fontId="4" numFmtId="0" xfId="0" applyBorder="1" applyFont="1"/>
    <xf borderId="4" fillId="0" fontId="4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</cellXfs>
  <cellStyles count="1">
    <cellStyle xfId="0" name="Normal" builtinId="0"/>
  </cellStyles>
  <dxfs count="3">
    <dxf>
      <font>
        <b/>
        <color rgb="FFFFFFFF"/>
      </font>
      <fill>
        <patternFill patternType="solid">
          <fgColor rgb="FF34A853"/>
          <bgColor rgb="FF34A853"/>
        </patternFill>
      </fill>
      <border/>
    </dxf>
    <dxf>
      <font>
        <b/>
        <color rgb="FFFFFFFF"/>
      </font>
      <fill>
        <patternFill patternType="solid">
          <fgColor rgb="FFFF6D01"/>
          <bgColor rgb="FFFF6D01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30.88"/>
    <col customWidth="1" min="23" max="23" width="2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L1" s="4" t="s">
        <v>1</v>
      </c>
      <c r="M1" s="2"/>
      <c r="N1" s="2"/>
      <c r="O1" s="2"/>
      <c r="P1" s="3"/>
      <c r="R1" s="1" t="s">
        <v>2</v>
      </c>
      <c r="S1" s="2"/>
      <c r="T1" s="3"/>
      <c r="V1" s="4" t="s">
        <v>3</v>
      </c>
      <c r="W1" s="2"/>
      <c r="X1" s="3"/>
      <c r="Z1" s="1" t="s">
        <v>4</v>
      </c>
      <c r="AA1" s="2"/>
      <c r="AB1" s="2"/>
      <c r="AC1" s="2"/>
      <c r="AD1" s="3"/>
    </row>
    <row r="2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14</v>
      </c>
      <c r="J2" s="7"/>
      <c r="L2" s="9" t="s">
        <v>5</v>
      </c>
      <c r="M2" s="10" t="s">
        <v>16</v>
      </c>
      <c r="N2" s="3"/>
      <c r="O2" s="9" t="s">
        <v>17</v>
      </c>
      <c r="P2" s="9" t="s">
        <v>19</v>
      </c>
      <c r="R2" s="5" t="s">
        <v>20</v>
      </c>
      <c r="S2" s="5" t="s">
        <v>16</v>
      </c>
      <c r="T2" s="5" t="s">
        <v>21</v>
      </c>
      <c r="W2" s="11">
        <f>ROUND(M34/A35, 2)</f>
        <v>58.22</v>
      </c>
      <c r="Z2" s="5" t="s">
        <v>20</v>
      </c>
      <c r="AA2" s="5" t="s">
        <v>22</v>
      </c>
      <c r="AB2" s="5" t="s">
        <v>23</v>
      </c>
      <c r="AC2" s="5" t="s">
        <v>24</v>
      </c>
      <c r="AD2" s="5" t="s">
        <v>25</v>
      </c>
    </row>
    <row r="3">
      <c r="A3" s="12">
        <v>46023.0</v>
      </c>
      <c r="B3" s="7"/>
      <c r="C3" s="7"/>
      <c r="D3" s="7"/>
      <c r="E3" s="7"/>
      <c r="F3" s="7"/>
      <c r="G3" s="7"/>
      <c r="H3" s="7"/>
      <c r="I3" s="7"/>
      <c r="J3" s="7"/>
      <c r="L3" s="13">
        <v>46023.0</v>
      </c>
      <c r="M3" s="14"/>
      <c r="N3" s="3"/>
      <c r="O3" s="16"/>
      <c r="P3" s="16"/>
      <c r="R3" s="17" t="s">
        <v>6</v>
      </c>
      <c r="S3" s="8">
        <f>560+470+2450+160+100+500</f>
        <v>4240</v>
      </c>
      <c r="T3" s="8">
        <v>3000.0</v>
      </c>
      <c r="Z3" s="17" t="s">
        <v>6</v>
      </c>
      <c r="AA3" s="7">
        <f>B34</f>
        <v>53</v>
      </c>
      <c r="AB3" s="7">
        <f>AA3*W2</f>
        <v>3085.66</v>
      </c>
      <c r="AC3" s="7">
        <f t="shared" ref="AC3:AC11" si="1">S3</f>
        <v>4240</v>
      </c>
      <c r="AD3" s="7">
        <f t="shared" ref="AD3:AD11" si="2">AC3-AB3</f>
        <v>1154.34</v>
      </c>
    </row>
    <row r="4">
      <c r="A4" s="12">
        <v>46024.0</v>
      </c>
      <c r="B4" s="7"/>
      <c r="C4" s="7"/>
      <c r="D4" s="7"/>
      <c r="E4" s="7"/>
      <c r="F4" s="7"/>
      <c r="G4" s="7"/>
      <c r="H4" s="7"/>
      <c r="I4" s="7"/>
      <c r="J4" s="7"/>
      <c r="L4" s="13">
        <v>46024.0</v>
      </c>
      <c r="M4" s="14"/>
      <c r="N4" s="3"/>
      <c r="O4" s="16"/>
      <c r="P4" s="16"/>
      <c r="R4" s="17" t="s">
        <v>7</v>
      </c>
      <c r="S4" s="8">
        <f>3630+80+120+40</f>
        <v>3870</v>
      </c>
      <c r="T4" s="8">
        <v>3000.0</v>
      </c>
      <c r="Z4" s="17" t="s">
        <v>7</v>
      </c>
      <c r="AA4" s="7">
        <f>C34</f>
        <v>45</v>
      </c>
      <c r="AB4" s="7">
        <f>AA4*W2</f>
        <v>2619.9</v>
      </c>
      <c r="AC4" s="7">
        <f t="shared" si="1"/>
        <v>3870</v>
      </c>
      <c r="AD4" s="7">
        <f t="shared" si="2"/>
        <v>1250.1</v>
      </c>
    </row>
    <row r="5">
      <c r="A5" s="12">
        <v>46025.0</v>
      </c>
      <c r="B5" s="7"/>
      <c r="C5" s="7"/>
      <c r="D5" s="7"/>
      <c r="E5" s="7"/>
      <c r="F5" s="7"/>
      <c r="G5" s="7"/>
      <c r="H5" s="7"/>
      <c r="I5" s="7"/>
      <c r="J5" s="7"/>
      <c r="L5" s="13">
        <v>46025.0</v>
      </c>
      <c r="M5" s="14"/>
      <c r="N5" s="3"/>
      <c r="O5" s="16"/>
      <c r="P5" s="16"/>
      <c r="R5" s="17" t="s">
        <v>8</v>
      </c>
      <c r="S5" s="7"/>
      <c r="T5" s="8">
        <v>3000.0</v>
      </c>
      <c r="Z5" s="17" t="s">
        <v>8</v>
      </c>
      <c r="AA5" s="7">
        <f>D34</f>
        <v>18</v>
      </c>
      <c r="AB5" s="7">
        <f>AA5*W2</f>
        <v>1047.96</v>
      </c>
      <c r="AC5" s="7" t="str">
        <f t="shared" si="1"/>
        <v/>
      </c>
      <c r="AD5" s="7">
        <f t="shared" si="2"/>
        <v>-1047.96</v>
      </c>
    </row>
    <row r="6">
      <c r="A6" s="12">
        <v>46026.0</v>
      </c>
      <c r="B6" s="7"/>
      <c r="C6" s="7"/>
      <c r="D6" s="7"/>
      <c r="E6" s="7"/>
      <c r="F6" s="7"/>
      <c r="G6" s="7"/>
      <c r="H6" s="7"/>
      <c r="I6" s="7"/>
      <c r="J6" s="7"/>
      <c r="L6" s="13">
        <v>46026.0</v>
      </c>
      <c r="M6" s="14">
        <f>3630</f>
        <v>3630</v>
      </c>
      <c r="N6" s="3"/>
      <c r="O6" s="15" t="s">
        <v>7</v>
      </c>
      <c r="P6" s="15" t="s">
        <v>34</v>
      </c>
      <c r="R6" s="17" t="s">
        <v>9</v>
      </c>
      <c r="S6" s="7">
        <f>830+1000</f>
        <v>1830</v>
      </c>
      <c r="T6" s="8">
        <v>3000.0</v>
      </c>
      <c r="Z6" s="17" t="s">
        <v>9</v>
      </c>
      <c r="AA6" s="7">
        <f>E34</f>
        <v>21</v>
      </c>
      <c r="AB6" s="7">
        <f>AA6*W2</f>
        <v>1222.62</v>
      </c>
      <c r="AC6" s="7">
        <f t="shared" si="1"/>
        <v>1830</v>
      </c>
      <c r="AD6" s="7">
        <f t="shared" si="2"/>
        <v>607.38</v>
      </c>
    </row>
    <row r="7">
      <c r="A7" s="12">
        <v>46027.0</v>
      </c>
      <c r="B7" s="8">
        <v>1.0</v>
      </c>
      <c r="C7" s="8">
        <v>1.0</v>
      </c>
      <c r="D7" s="8">
        <v>1.0</v>
      </c>
      <c r="E7" s="8"/>
      <c r="F7" s="8">
        <v>1.0</v>
      </c>
      <c r="G7" s="8">
        <v>1.0</v>
      </c>
      <c r="H7" s="8">
        <v>2.0</v>
      </c>
      <c r="I7" s="8">
        <v>1.0</v>
      </c>
      <c r="J7" s="7"/>
      <c r="L7" s="13">
        <v>46027.0</v>
      </c>
      <c r="M7" s="14">
        <f>560</f>
        <v>560</v>
      </c>
      <c r="N7" s="3"/>
      <c r="O7" s="15" t="s">
        <v>6</v>
      </c>
      <c r="P7" s="15" t="s">
        <v>38</v>
      </c>
      <c r="R7" s="17" t="s">
        <v>10</v>
      </c>
      <c r="S7" s="7">
        <f>2000</f>
        <v>2000</v>
      </c>
      <c r="T7" s="8">
        <v>3000.0</v>
      </c>
      <c r="Z7" s="17" t="s">
        <v>10</v>
      </c>
      <c r="AA7" s="7">
        <f>F34</f>
        <v>30</v>
      </c>
      <c r="AB7" s="7">
        <f>AA7*W2</f>
        <v>1746.6</v>
      </c>
      <c r="AC7" s="7">
        <f t="shared" si="1"/>
        <v>2000</v>
      </c>
      <c r="AD7" s="7">
        <f t="shared" si="2"/>
        <v>253.4</v>
      </c>
    </row>
    <row r="8">
      <c r="A8" s="12">
        <v>46028.0</v>
      </c>
      <c r="B8" s="8">
        <v>2.0</v>
      </c>
      <c r="C8" s="8">
        <v>2.0</v>
      </c>
      <c r="D8" s="8">
        <v>2.0</v>
      </c>
      <c r="E8" s="8">
        <v>1.0</v>
      </c>
      <c r="F8" s="8">
        <v>1.0</v>
      </c>
      <c r="G8" s="8">
        <v>1.0</v>
      </c>
      <c r="H8" s="8">
        <v>2.0</v>
      </c>
      <c r="I8" s="8">
        <v>1.0</v>
      </c>
      <c r="J8" s="7"/>
      <c r="L8" s="13">
        <v>46028.0</v>
      </c>
      <c r="M8" s="14"/>
      <c r="N8" s="3"/>
      <c r="O8" s="16"/>
      <c r="P8" s="16"/>
      <c r="R8" s="17" t="s">
        <v>11</v>
      </c>
      <c r="S8" s="7"/>
      <c r="T8" s="8">
        <v>3000.0</v>
      </c>
      <c r="Z8" s="17" t="s">
        <v>11</v>
      </c>
      <c r="AA8" s="7">
        <f>G34</f>
        <v>29</v>
      </c>
      <c r="AB8" s="7">
        <f>AA8*W2</f>
        <v>1688.38</v>
      </c>
      <c r="AC8" s="7" t="str">
        <f t="shared" si="1"/>
        <v/>
      </c>
      <c r="AD8" s="7">
        <f t="shared" si="2"/>
        <v>-1688.38</v>
      </c>
    </row>
    <row r="9">
      <c r="A9" s="12">
        <v>46029.0</v>
      </c>
      <c r="B9" s="8">
        <v>2.0</v>
      </c>
      <c r="C9" s="8">
        <v>2.0</v>
      </c>
      <c r="D9" s="8">
        <v>1.0</v>
      </c>
      <c r="E9" s="8">
        <v>1.0</v>
      </c>
      <c r="F9" s="8">
        <v>1.0</v>
      </c>
      <c r="G9" s="8">
        <v>1.0</v>
      </c>
      <c r="H9" s="8">
        <v>1.0</v>
      </c>
      <c r="I9" s="8">
        <v>2.0</v>
      </c>
      <c r="J9" s="7"/>
      <c r="L9" s="13">
        <v>46029.0</v>
      </c>
      <c r="M9" s="18">
        <v>470.0</v>
      </c>
      <c r="N9" s="3"/>
      <c r="O9" s="15" t="s">
        <v>6</v>
      </c>
      <c r="P9" s="15" t="s">
        <v>38</v>
      </c>
      <c r="R9" s="17" t="s">
        <v>12</v>
      </c>
      <c r="S9" s="7">
        <f>950+40+1100+500+1000</f>
        <v>3590</v>
      </c>
      <c r="T9" s="8">
        <v>3000.0</v>
      </c>
      <c r="Z9" s="17" t="s">
        <v>12</v>
      </c>
      <c r="AA9" s="7">
        <f>H34</f>
        <v>64</v>
      </c>
      <c r="AB9" s="7">
        <f>AA9*W2</f>
        <v>3726.08</v>
      </c>
      <c r="AC9" s="7">
        <f t="shared" si="1"/>
        <v>3590</v>
      </c>
      <c r="AD9" s="7">
        <f t="shared" si="2"/>
        <v>-136.08</v>
      </c>
    </row>
    <row r="10">
      <c r="A10" s="12">
        <v>46030.0</v>
      </c>
      <c r="B10" s="8">
        <v>2.0</v>
      </c>
      <c r="C10" s="8">
        <v>1.0</v>
      </c>
      <c r="D10" s="8">
        <v>2.0</v>
      </c>
      <c r="E10" s="8">
        <v>1.0</v>
      </c>
      <c r="F10" s="8">
        <v>1.0</v>
      </c>
      <c r="G10" s="8">
        <v>1.0</v>
      </c>
      <c r="H10" s="8">
        <v>2.0</v>
      </c>
      <c r="I10" s="8">
        <v>1.0</v>
      </c>
      <c r="J10" s="7"/>
      <c r="L10" s="13">
        <v>46030.0</v>
      </c>
      <c r="M10" s="14">
        <f>830+2450+160</f>
        <v>3440</v>
      </c>
      <c r="N10" s="3"/>
      <c r="O10" s="15" t="s">
        <v>43</v>
      </c>
      <c r="P10" s="15" t="s">
        <v>44</v>
      </c>
      <c r="R10" s="17" t="s">
        <v>14</v>
      </c>
      <c r="S10" s="7">
        <f>1000+650+520</f>
        <v>2170</v>
      </c>
      <c r="T10" s="8">
        <v>3000.0</v>
      </c>
      <c r="Z10" s="17" t="s">
        <v>14</v>
      </c>
      <c r="AA10" s="7">
        <f>I34</f>
        <v>32</v>
      </c>
      <c r="AB10" s="7">
        <f>AA10*W2</f>
        <v>1863.04</v>
      </c>
      <c r="AC10" s="7">
        <f t="shared" si="1"/>
        <v>2170</v>
      </c>
      <c r="AD10" s="7">
        <f t="shared" si="2"/>
        <v>306.96</v>
      </c>
    </row>
    <row r="11">
      <c r="A11" s="12">
        <v>46031.0</v>
      </c>
      <c r="B11" s="8">
        <v>0.0</v>
      </c>
      <c r="C11" s="8">
        <v>1.0</v>
      </c>
      <c r="D11" s="8">
        <v>1.0</v>
      </c>
      <c r="E11" s="8">
        <v>1.0</v>
      </c>
      <c r="F11" s="8">
        <v>1.0</v>
      </c>
      <c r="G11" s="8">
        <v>0.0</v>
      </c>
      <c r="H11" s="8">
        <v>2.0</v>
      </c>
      <c r="I11" s="8">
        <v>2.0</v>
      </c>
      <c r="J11" s="7"/>
      <c r="L11" s="13">
        <v>46031.0</v>
      </c>
      <c r="M11" s="14"/>
      <c r="N11" s="3"/>
      <c r="O11" s="16"/>
      <c r="P11" s="16"/>
      <c r="R11" s="7"/>
      <c r="S11" s="7"/>
      <c r="T11" s="7"/>
      <c r="Z11" s="7"/>
      <c r="AA11" s="7">
        <f>J34</f>
        <v>0</v>
      </c>
      <c r="AB11" s="7">
        <f>AA11*W2</f>
        <v>0</v>
      </c>
      <c r="AC11" s="7" t="str">
        <f t="shared" si="1"/>
        <v/>
      </c>
      <c r="AD11" s="7">
        <f t="shared" si="2"/>
        <v>0</v>
      </c>
    </row>
    <row r="12">
      <c r="A12" s="12">
        <v>46032.0</v>
      </c>
      <c r="B12" s="8">
        <v>0.0</v>
      </c>
      <c r="C12" s="8">
        <v>2.0</v>
      </c>
      <c r="D12" s="8">
        <v>1.0</v>
      </c>
      <c r="E12" s="8">
        <v>1.0</v>
      </c>
      <c r="F12" s="8">
        <v>1.0</v>
      </c>
      <c r="G12" s="8">
        <v>0.0</v>
      </c>
      <c r="H12" s="8">
        <v>2.0</v>
      </c>
      <c r="I12" s="8">
        <v>2.0</v>
      </c>
      <c r="J12" s="7"/>
      <c r="L12" s="13">
        <v>46032.0</v>
      </c>
      <c r="M12" s="14"/>
      <c r="N12" s="3"/>
      <c r="O12" s="16"/>
      <c r="P12" s="16"/>
      <c r="R12" s="5" t="s">
        <v>46</v>
      </c>
      <c r="S12" s="7">
        <f>SUM(S3:S11)</f>
        <v>17700</v>
      </c>
      <c r="T12" s="7">
        <f>SUM(T2:T11)</f>
        <v>24000</v>
      </c>
      <c r="Z12" s="5" t="s">
        <v>46</v>
      </c>
      <c r="AA12" s="7">
        <f t="shared" ref="AA12:AC12" si="3">SUM(AA2:AA11)</f>
        <v>292</v>
      </c>
      <c r="AB12" s="7">
        <f t="shared" si="3"/>
        <v>17000.24</v>
      </c>
      <c r="AC12" s="7">
        <f t="shared" si="3"/>
        <v>17700</v>
      </c>
      <c r="AD12" s="7">
        <f>CEILING(AC12-AB12, 1)</f>
        <v>700</v>
      </c>
    </row>
    <row r="13">
      <c r="A13" s="12">
        <v>46033.0</v>
      </c>
      <c r="B13" s="8">
        <v>0.0</v>
      </c>
      <c r="C13" s="8">
        <v>2.0</v>
      </c>
      <c r="D13" s="8">
        <v>0.0</v>
      </c>
      <c r="E13" s="8">
        <v>0.0</v>
      </c>
      <c r="F13" s="8">
        <v>1.0</v>
      </c>
      <c r="G13" s="8">
        <v>1.0</v>
      </c>
      <c r="H13" s="8">
        <v>3.0</v>
      </c>
      <c r="I13" s="8">
        <v>1.0</v>
      </c>
      <c r="J13" s="7"/>
      <c r="L13" s="13">
        <v>46033.0</v>
      </c>
      <c r="M13" s="14"/>
      <c r="N13" s="3"/>
      <c r="O13" s="16"/>
      <c r="P13" s="16"/>
    </row>
    <row r="14">
      <c r="A14" s="12">
        <v>46034.0</v>
      </c>
      <c r="B14" s="8">
        <v>3.0</v>
      </c>
      <c r="C14" s="8">
        <v>2.0</v>
      </c>
      <c r="D14" s="7"/>
      <c r="E14" s="8">
        <v>0.0</v>
      </c>
      <c r="F14" s="7"/>
      <c r="G14" s="8">
        <v>1.0</v>
      </c>
      <c r="H14" s="8">
        <v>4.0</v>
      </c>
      <c r="I14" s="8">
        <v>2.0</v>
      </c>
      <c r="J14" s="7"/>
      <c r="L14" s="13">
        <v>46034.0</v>
      </c>
      <c r="M14" s="14">
        <f>950</f>
        <v>950</v>
      </c>
      <c r="N14" s="3"/>
      <c r="O14" s="15" t="s">
        <v>12</v>
      </c>
      <c r="P14" s="15" t="s">
        <v>50</v>
      </c>
    </row>
    <row r="15">
      <c r="A15" s="12">
        <v>46035.0</v>
      </c>
      <c r="B15" s="8">
        <v>4.0</v>
      </c>
      <c r="C15" s="8">
        <v>2.0</v>
      </c>
      <c r="D15" s="7"/>
      <c r="E15" s="8">
        <v>0.0</v>
      </c>
      <c r="F15" s="7"/>
      <c r="G15" s="7"/>
      <c r="H15" s="8">
        <v>3.0</v>
      </c>
      <c r="I15" s="8">
        <v>2.0</v>
      </c>
      <c r="J15" s="7"/>
      <c r="L15" s="13">
        <v>46035.0</v>
      </c>
      <c r="M15" s="14">
        <f>80</f>
        <v>80</v>
      </c>
      <c r="N15" s="3"/>
      <c r="O15" s="15" t="s">
        <v>7</v>
      </c>
      <c r="P15" s="15" t="s">
        <v>52</v>
      </c>
    </row>
    <row r="16">
      <c r="A16" s="12">
        <v>46036.0</v>
      </c>
      <c r="B16" s="8">
        <v>4.0</v>
      </c>
      <c r="C16" s="8">
        <v>1.0</v>
      </c>
      <c r="D16" s="7"/>
      <c r="E16" s="8">
        <v>1.0</v>
      </c>
      <c r="F16" s="8">
        <v>1.0</v>
      </c>
      <c r="G16" s="8">
        <v>1.0</v>
      </c>
      <c r="H16" s="7"/>
      <c r="I16" s="8">
        <v>1.0</v>
      </c>
      <c r="J16" s="7"/>
      <c r="L16" s="13">
        <v>46036.0</v>
      </c>
      <c r="M16" s="14"/>
      <c r="N16" s="3"/>
      <c r="O16" s="16"/>
      <c r="P16" s="16"/>
    </row>
    <row r="17">
      <c r="A17" s="12">
        <v>46037.0</v>
      </c>
      <c r="B17" s="8">
        <v>4.0</v>
      </c>
      <c r="C17" s="8">
        <v>2.0</v>
      </c>
      <c r="D17" s="7"/>
      <c r="E17" s="8">
        <v>2.0</v>
      </c>
      <c r="F17" s="8">
        <v>1.0</v>
      </c>
      <c r="G17" s="8">
        <v>2.0</v>
      </c>
      <c r="H17" s="7"/>
      <c r="I17" s="8">
        <v>1.0</v>
      </c>
      <c r="J17" s="7"/>
      <c r="L17" s="13">
        <v>46037.0</v>
      </c>
      <c r="M17" s="14">
        <f>1000</f>
        <v>1000</v>
      </c>
      <c r="N17" s="3"/>
      <c r="O17" s="15" t="s">
        <v>9</v>
      </c>
      <c r="P17" s="15" t="s">
        <v>54</v>
      </c>
    </row>
    <row r="18">
      <c r="A18" s="12">
        <v>46038.0</v>
      </c>
      <c r="B18" s="8">
        <v>3.0</v>
      </c>
      <c r="C18" s="8">
        <v>2.0</v>
      </c>
      <c r="D18" s="7"/>
      <c r="E18" s="8">
        <v>2.0</v>
      </c>
      <c r="F18" s="8">
        <v>1.0</v>
      </c>
      <c r="G18" s="8">
        <v>4.0</v>
      </c>
      <c r="H18" s="7"/>
      <c r="I18" s="8">
        <v>1.0</v>
      </c>
      <c r="J18" s="7"/>
      <c r="L18" s="13">
        <v>46038.0</v>
      </c>
      <c r="M18" s="14">
        <f>40</f>
        <v>40</v>
      </c>
      <c r="N18" s="3"/>
      <c r="O18" s="15" t="s">
        <v>12</v>
      </c>
      <c r="P18" s="15" t="s">
        <v>56</v>
      </c>
    </row>
    <row r="19">
      <c r="A19" s="12">
        <v>46039.0</v>
      </c>
      <c r="B19" s="8">
        <v>4.0</v>
      </c>
      <c r="C19" s="8">
        <v>2.0</v>
      </c>
      <c r="D19" s="7"/>
      <c r="E19" s="8">
        <v>1.0</v>
      </c>
      <c r="F19" s="8">
        <v>2.0</v>
      </c>
      <c r="G19" s="8">
        <v>4.0</v>
      </c>
      <c r="H19" s="7"/>
      <c r="I19" s="8">
        <v>2.0</v>
      </c>
      <c r="J19" s="7"/>
      <c r="L19" s="13">
        <v>46039.0</v>
      </c>
      <c r="M19" s="14">
        <f>650</f>
        <v>650</v>
      </c>
      <c r="N19" s="3"/>
      <c r="O19" s="15" t="s">
        <v>14</v>
      </c>
      <c r="P19" s="15" t="s">
        <v>60</v>
      </c>
    </row>
    <row r="20">
      <c r="A20" s="12">
        <v>46040.0</v>
      </c>
      <c r="B20" s="8">
        <v>2.0</v>
      </c>
      <c r="C20" s="8">
        <v>2.0</v>
      </c>
      <c r="D20" s="8">
        <v>1.0</v>
      </c>
      <c r="E20" s="8">
        <v>2.0</v>
      </c>
      <c r="F20" s="8">
        <v>2.0</v>
      </c>
      <c r="G20" s="8">
        <v>2.0</v>
      </c>
      <c r="H20" s="8">
        <v>2.0</v>
      </c>
      <c r="I20" s="8">
        <v>2.0</v>
      </c>
      <c r="J20" s="7"/>
      <c r="L20" s="13">
        <v>46040.0</v>
      </c>
      <c r="M20" s="14">
        <f>1000</f>
        <v>1000</v>
      </c>
      <c r="N20" s="3"/>
      <c r="O20" s="15" t="s">
        <v>61</v>
      </c>
      <c r="P20" s="15" t="s">
        <v>39</v>
      </c>
    </row>
    <row r="21">
      <c r="A21" s="12">
        <v>46041.0</v>
      </c>
      <c r="B21" s="8">
        <v>2.0</v>
      </c>
      <c r="C21" s="8">
        <v>2.0</v>
      </c>
      <c r="D21" s="7"/>
      <c r="E21" s="8">
        <v>1.0</v>
      </c>
      <c r="F21" s="8">
        <v>1.0</v>
      </c>
      <c r="G21" s="8">
        <v>2.0</v>
      </c>
      <c r="H21" s="8">
        <v>2.0</v>
      </c>
      <c r="I21" s="8">
        <v>2.0</v>
      </c>
      <c r="J21" s="7"/>
      <c r="L21" s="13">
        <v>46041.0</v>
      </c>
      <c r="M21" s="14">
        <f>950</f>
        <v>950</v>
      </c>
      <c r="N21" s="3"/>
      <c r="O21" s="15" t="s">
        <v>6</v>
      </c>
      <c r="P21" s="15" t="s">
        <v>62</v>
      </c>
    </row>
    <row r="22">
      <c r="A22" s="12">
        <v>46042.0</v>
      </c>
      <c r="B22" s="8">
        <v>2.0</v>
      </c>
      <c r="C22" s="8">
        <v>2.0</v>
      </c>
      <c r="D22" s="7"/>
      <c r="E22" s="8">
        <v>0.0</v>
      </c>
      <c r="F22" s="8">
        <v>1.0</v>
      </c>
      <c r="G22" s="8">
        <v>1.0</v>
      </c>
      <c r="H22" s="8">
        <v>2.0</v>
      </c>
      <c r="I22" s="8">
        <v>2.0</v>
      </c>
      <c r="J22" s="7"/>
      <c r="L22" s="13">
        <v>46042.0</v>
      </c>
      <c r="M22" s="14">
        <f>530+290+280</f>
        <v>1100</v>
      </c>
      <c r="N22" s="3"/>
      <c r="O22" s="15" t="s">
        <v>12</v>
      </c>
      <c r="P22" s="15" t="s">
        <v>65</v>
      </c>
    </row>
    <row r="23">
      <c r="A23" s="12">
        <v>46043.0</v>
      </c>
      <c r="B23" s="8">
        <v>3.0</v>
      </c>
      <c r="C23" s="8">
        <v>2.0</v>
      </c>
      <c r="D23" s="7"/>
      <c r="E23" s="8">
        <v>0.0</v>
      </c>
      <c r="F23" s="8">
        <v>2.0</v>
      </c>
      <c r="G23" s="8">
        <v>1.0</v>
      </c>
      <c r="H23" s="8">
        <v>2.0</v>
      </c>
      <c r="I23" s="8">
        <v>1.0</v>
      </c>
      <c r="J23" s="7"/>
      <c r="L23" s="13">
        <v>46043.0</v>
      </c>
      <c r="M23" s="14">
        <f>160</f>
        <v>160</v>
      </c>
      <c r="N23" s="3"/>
      <c r="O23" s="15" t="s">
        <v>7</v>
      </c>
      <c r="P23" s="15" t="s">
        <v>41</v>
      </c>
    </row>
    <row r="24">
      <c r="A24" s="12">
        <v>46044.0</v>
      </c>
      <c r="B24" s="8">
        <v>2.0</v>
      </c>
      <c r="C24" s="8">
        <v>2.0</v>
      </c>
      <c r="D24" s="7"/>
      <c r="E24" s="8">
        <v>0.0</v>
      </c>
      <c r="F24" s="8">
        <v>1.0</v>
      </c>
      <c r="G24" s="8">
        <v>1.0</v>
      </c>
      <c r="H24" s="8">
        <v>1.0</v>
      </c>
      <c r="I24" s="8">
        <v>2.0</v>
      </c>
      <c r="J24" s="7"/>
      <c r="L24" s="13">
        <v>46044.0</v>
      </c>
      <c r="M24" s="14">
        <f>100</f>
        <v>100</v>
      </c>
      <c r="N24" s="3"/>
      <c r="O24" s="15" t="s">
        <v>6</v>
      </c>
      <c r="P24" s="15" t="s">
        <v>66</v>
      </c>
    </row>
    <row r="25">
      <c r="A25" s="12">
        <v>46045.0</v>
      </c>
      <c r="B25" s="8">
        <v>2.0</v>
      </c>
      <c r="C25" s="8">
        <v>2.0</v>
      </c>
      <c r="D25" s="8">
        <v>1.0</v>
      </c>
      <c r="E25" s="8">
        <v>1.0</v>
      </c>
      <c r="F25" s="8">
        <v>1.0</v>
      </c>
      <c r="G25" s="7"/>
      <c r="H25" s="8">
        <v>4.0</v>
      </c>
      <c r="I25" s="8">
        <v>0.0</v>
      </c>
      <c r="J25" s="7"/>
      <c r="L25" s="13">
        <v>46045.0</v>
      </c>
      <c r="M25" s="14">
        <f>360</f>
        <v>360</v>
      </c>
      <c r="N25" s="3"/>
      <c r="O25" s="15" t="s">
        <v>68</v>
      </c>
      <c r="P25" s="15" t="s">
        <v>39</v>
      </c>
    </row>
    <row r="26">
      <c r="A26" s="12">
        <v>46046.0</v>
      </c>
      <c r="B26" s="7"/>
      <c r="C26" s="7"/>
      <c r="D26" s="8">
        <v>1.0</v>
      </c>
      <c r="E26" s="8">
        <v>1.0</v>
      </c>
      <c r="F26" s="8">
        <v>2.0</v>
      </c>
      <c r="G26" s="7"/>
      <c r="H26" s="8">
        <v>4.0</v>
      </c>
      <c r="I26" s="7"/>
      <c r="J26" s="7"/>
      <c r="L26" s="13">
        <v>46046.0</v>
      </c>
      <c r="M26" s="14"/>
      <c r="N26" s="3"/>
      <c r="O26" s="16"/>
      <c r="P26" s="16"/>
    </row>
    <row r="27">
      <c r="A27" s="12">
        <v>46047.0</v>
      </c>
      <c r="B27" s="7"/>
      <c r="C27" s="7"/>
      <c r="D27" s="8">
        <v>1.0</v>
      </c>
      <c r="E27" s="8">
        <v>0.0</v>
      </c>
      <c r="F27" s="8">
        <v>3.0</v>
      </c>
      <c r="G27" s="8">
        <v>1.0</v>
      </c>
      <c r="H27" s="8">
        <v>4.0</v>
      </c>
      <c r="I27" s="7"/>
      <c r="J27" s="7"/>
      <c r="L27" s="13">
        <v>46047.0</v>
      </c>
      <c r="M27" s="14"/>
      <c r="N27" s="3"/>
      <c r="O27" s="16"/>
      <c r="P27" s="16"/>
    </row>
    <row r="28">
      <c r="A28" s="12">
        <v>46048.0</v>
      </c>
      <c r="B28" s="8">
        <v>1.0</v>
      </c>
      <c r="C28" s="8">
        <v>1.0</v>
      </c>
      <c r="D28" s="8"/>
      <c r="E28" s="8">
        <v>2.0</v>
      </c>
      <c r="F28" s="8">
        <v>2.0</v>
      </c>
      <c r="G28" s="8">
        <v>1.0</v>
      </c>
      <c r="H28" s="8">
        <v>2.0</v>
      </c>
      <c r="I28" s="7"/>
      <c r="J28" s="7"/>
      <c r="L28" s="13">
        <v>46048.0</v>
      </c>
      <c r="M28" s="14">
        <f>1000</f>
        <v>1000</v>
      </c>
      <c r="N28" s="3"/>
      <c r="O28" s="15" t="s">
        <v>12</v>
      </c>
      <c r="P28" s="15" t="s">
        <v>74</v>
      </c>
    </row>
    <row r="29">
      <c r="A29" s="12">
        <v>46049.0</v>
      </c>
      <c r="B29" s="8">
        <v>2.0</v>
      </c>
      <c r="C29" s="8">
        <v>2.0</v>
      </c>
      <c r="D29" s="7"/>
      <c r="E29" s="8">
        <v>1.0</v>
      </c>
      <c r="F29" s="8">
        <v>1.0</v>
      </c>
      <c r="G29" s="8">
        <v>1.0</v>
      </c>
      <c r="H29" s="8">
        <v>4.0</v>
      </c>
      <c r="I29" s="8">
        <v>1.0</v>
      </c>
      <c r="J29" s="7"/>
      <c r="L29" s="13">
        <v>46049.0</v>
      </c>
      <c r="M29" s="18"/>
      <c r="N29" s="3"/>
      <c r="O29" s="15"/>
      <c r="P29" s="16"/>
    </row>
    <row r="30">
      <c r="A30" s="12">
        <v>46050.0</v>
      </c>
      <c r="B30" s="8">
        <v>2.0</v>
      </c>
      <c r="C30" s="8">
        <v>2.0</v>
      </c>
      <c r="D30" s="7"/>
      <c r="E30" s="8">
        <v>1.0</v>
      </c>
      <c r="F30" s="8">
        <v>1.0</v>
      </c>
      <c r="G30" s="8">
        <v>1.0</v>
      </c>
      <c r="H30" s="8">
        <v>4.0</v>
      </c>
      <c r="I30" s="7"/>
      <c r="J30" s="7"/>
      <c r="L30" s="13">
        <v>46050.0</v>
      </c>
      <c r="M30" s="14">
        <f>690</f>
        <v>690</v>
      </c>
      <c r="N30" s="3"/>
      <c r="O30" s="15" t="s">
        <v>77</v>
      </c>
      <c r="P30" s="15" t="s">
        <v>78</v>
      </c>
    </row>
    <row r="31">
      <c r="A31" s="12">
        <v>46051.0</v>
      </c>
      <c r="B31" s="8">
        <v>2.0</v>
      </c>
      <c r="C31" s="8">
        <v>2.0</v>
      </c>
      <c r="D31" s="8"/>
      <c r="E31" s="8">
        <v>0.0</v>
      </c>
      <c r="F31" s="8">
        <v>1.0</v>
      </c>
      <c r="G31" s="8">
        <v>1.0</v>
      </c>
      <c r="H31" s="8">
        <v>4.0</v>
      </c>
      <c r="I31" s="8">
        <v>1.0</v>
      </c>
      <c r="J31" s="7"/>
      <c r="L31" s="13">
        <v>46051.0</v>
      </c>
      <c r="M31" s="18">
        <v>1000.0</v>
      </c>
      <c r="N31" s="3"/>
      <c r="O31" s="15" t="s">
        <v>6</v>
      </c>
      <c r="P31" s="15" t="s">
        <v>65</v>
      </c>
    </row>
    <row r="32">
      <c r="A32" s="12">
        <v>46052.0</v>
      </c>
      <c r="B32" s="8">
        <v>2.0</v>
      </c>
      <c r="C32" s="8">
        <v>2.0</v>
      </c>
      <c r="D32" s="8">
        <v>4.0</v>
      </c>
      <c r="E32" s="8">
        <v>1.0</v>
      </c>
      <c r="F32" s="7"/>
      <c r="G32" s="7"/>
      <c r="H32" s="8">
        <v>4.0</v>
      </c>
      <c r="I32" s="7"/>
      <c r="J32" s="7"/>
      <c r="L32" s="13">
        <v>46052.0</v>
      </c>
      <c r="M32" s="14">
        <f>520</f>
        <v>520</v>
      </c>
      <c r="N32" s="3"/>
      <c r="O32" s="15" t="s">
        <v>14</v>
      </c>
      <c r="P32" s="15" t="s">
        <v>83</v>
      </c>
    </row>
    <row r="33">
      <c r="A33" s="12">
        <v>46053.0</v>
      </c>
      <c r="B33" s="8">
        <v>2.0</v>
      </c>
      <c r="C33" s="8">
        <v>2.0</v>
      </c>
      <c r="D33" s="8">
        <v>2.0</v>
      </c>
      <c r="E33" s="7"/>
      <c r="F33" s="7"/>
      <c r="G33" s="7"/>
      <c r="H33" s="8">
        <v>4.0</v>
      </c>
      <c r="I33" s="8">
        <v>2.0</v>
      </c>
      <c r="J33" s="7"/>
      <c r="L33" s="13">
        <v>46053.0</v>
      </c>
      <c r="M33" s="14">
        <f>-(500+200)</f>
        <v>-700</v>
      </c>
      <c r="N33" s="3"/>
      <c r="O33" s="15" t="s">
        <v>6</v>
      </c>
      <c r="P33" s="15" t="s">
        <v>86</v>
      </c>
    </row>
    <row r="34">
      <c r="A34" s="5" t="s">
        <v>46</v>
      </c>
      <c r="B34" s="22">
        <f t="shared" ref="B34:J34" si="4">SUM(B2:B33)</f>
        <v>53</v>
      </c>
      <c r="C34" s="22">
        <f t="shared" si="4"/>
        <v>45</v>
      </c>
      <c r="D34" s="22">
        <f t="shared" si="4"/>
        <v>18</v>
      </c>
      <c r="E34" s="22">
        <f t="shared" si="4"/>
        <v>21</v>
      </c>
      <c r="F34" s="22">
        <f t="shared" si="4"/>
        <v>30</v>
      </c>
      <c r="G34" s="22">
        <f t="shared" si="4"/>
        <v>29</v>
      </c>
      <c r="H34" s="22">
        <f t="shared" si="4"/>
        <v>64</v>
      </c>
      <c r="I34" s="22">
        <f t="shared" si="4"/>
        <v>32</v>
      </c>
      <c r="J34" s="22">
        <f t="shared" si="4"/>
        <v>0</v>
      </c>
      <c r="L34" s="9" t="s">
        <v>46</v>
      </c>
      <c r="M34" s="23">
        <f>SUM(M3:M33)</f>
        <v>17000</v>
      </c>
      <c r="N34" s="3"/>
      <c r="O34" s="24" t="s">
        <v>90</v>
      </c>
      <c r="P34" s="16"/>
    </row>
    <row r="35">
      <c r="A35" s="25">
        <f>SUM(B34:J34)</f>
        <v>292</v>
      </c>
    </row>
    <row r="37">
      <c r="L37" s="26" t="s">
        <v>91</v>
      </c>
      <c r="M37" s="27">
        <f>S12-M34</f>
        <v>700</v>
      </c>
      <c r="O37" s="28" t="s">
        <v>90</v>
      </c>
    </row>
  </sheetData>
  <mergeCells count="39">
    <mergeCell ref="A1:J1"/>
    <mergeCell ref="L1:P1"/>
    <mergeCell ref="R1:T1"/>
    <mergeCell ref="V1:X1"/>
    <mergeCell ref="Z1:AD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32:N32"/>
    <mergeCell ref="M33:N33"/>
    <mergeCell ref="M34:N34"/>
    <mergeCell ref="M37:N37"/>
    <mergeCell ref="M25:N25"/>
    <mergeCell ref="M26:N26"/>
    <mergeCell ref="M27:N27"/>
    <mergeCell ref="M28:N28"/>
    <mergeCell ref="M29:N29"/>
    <mergeCell ref="M30:N30"/>
    <mergeCell ref="M31:N31"/>
  </mergeCells>
  <conditionalFormatting sqref="AD3:AD11">
    <cfRule type="cellIs" dxfId="0" priority="1" operator="greaterThan">
      <formula>0</formula>
    </cfRule>
  </conditionalFormatting>
  <conditionalFormatting sqref="AD3:AD11">
    <cfRule type="cellIs" dxfId="1" priority="2" operator="equal">
      <formula>0</formula>
    </cfRule>
  </conditionalFormatting>
  <conditionalFormatting sqref="AD3:AD11">
    <cfRule type="cellIs" dxfId="2" priority="3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8.38"/>
    <col customWidth="1" min="16" max="16" width="3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L1" s="4" t="s">
        <v>1</v>
      </c>
      <c r="M1" s="2"/>
      <c r="N1" s="2"/>
      <c r="O1" s="2"/>
      <c r="P1" s="3"/>
      <c r="R1" s="1" t="s">
        <v>2</v>
      </c>
      <c r="S1" s="2"/>
      <c r="T1" s="3"/>
      <c r="V1" s="4" t="s">
        <v>3</v>
      </c>
      <c r="W1" s="2"/>
      <c r="X1" s="3"/>
      <c r="Z1" s="1" t="s">
        <v>4</v>
      </c>
      <c r="AA1" s="2"/>
      <c r="AB1" s="2"/>
      <c r="AC1" s="2"/>
      <c r="AD1" s="3"/>
    </row>
    <row r="2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14</v>
      </c>
      <c r="J2" s="8" t="s">
        <v>15</v>
      </c>
      <c r="L2" s="9" t="s">
        <v>5</v>
      </c>
      <c r="M2" s="10" t="s">
        <v>16</v>
      </c>
      <c r="N2" s="3"/>
      <c r="O2" s="9" t="s">
        <v>17</v>
      </c>
      <c r="P2" s="9" t="s">
        <v>19</v>
      </c>
      <c r="R2" s="5" t="s">
        <v>20</v>
      </c>
      <c r="S2" s="5" t="s">
        <v>16</v>
      </c>
      <c r="T2" s="5" t="s">
        <v>21</v>
      </c>
      <c r="W2" s="11">
        <f>ROUND(M37/A38, 2)</f>
        <v>57.98</v>
      </c>
      <c r="Z2" s="5" t="s">
        <v>20</v>
      </c>
      <c r="AA2" s="5" t="s">
        <v>22</v>
      </c>
      <c r="AB2" s="5" t="s">
        <v>23</v>
      </c>
      <c r="AC2" s="5" t="s">
        <v>24</v>
      </c>
      <c r="AD2" s="5" t="s">
        <v>25</v>
      </c>
    </row>
    <row r="3">
      <c r="A3" s="12">
        <v>46054.0</v>
      </c>
      <c r="B3" s="8">
        <v>2.0</v>
      </c>
      <c r="C3" s="8">
        <v>2.0</v>
      </c>
      <c r="D3" s="7"/>
      <c r="E3" s="7"/>
      <c r="F3" s="7"/>
      <c r="G3" s="8">
        <v>1.0</v>
      </c>
      <c r="H3" s="8">
        <v>3.0</v>
      </c>
      <c r="I3" s="8">
        <v>1.0</v>
      </c>
      <c r="J3" s="8">
        <v>2.0</v>
      </c>
      <c r="L3" s="13">
        <v>46023.0</v>
      </c>
      <c r="M3" s="14">
        <f>700</f>
        <v>700</v>
      </c>
      <c r="N3" s="3"/>
      <c r="O3" s="15" t="s">
        <v>6</v>
      </c>
      <c r="P3" s="15" t="s">
        <v>26</v>
      </c>
      <c r="R3" s="17" t="s">
        <v>6</v>
      </c>
      <c r="S3" s="8">
        <f>2450+500+1530+100</f>
        <v>4580</v>
      </c>
      <c r="T3" s="8">
        <v>3000.0</v>
      </c>
      <c r="Z3" s="17" t="s">
        <v>6</v>
      </c>
      <c r="AA3" s="7">
        <f>B37</f>
        <v>39</v>
      </c>
      <c r="AB3" s="7">
        <f>AA3*W2</f>
        <v>2261.22</v>
      </c>
      <c r="AC3" s="7">
        <f t="shared" ref="AC3:AC11" si="1">S3</f>
        <v>4580</v>
      </c>
      <c r="AD3" s="7">
        <f>(AC3-AB3)+'January 2026'!AD3</f>
        <v>3473.12</v>
      </c>
    </row>
    <row r="4">
      <c r="A4" s="12">
        <v>46055.0</v>
      </c>
      <c r="B4" s="8">
        <v>1.0</v>
      </c>
      <c r="C4" s="8">
        <v>2.0</v>
      </c>
      <c r="D4" s="8">
        <v>1.0</v>
      </c>
      <c r="E4" s="8">
        <v>1.0</v>
      </c>
      <c r="F4" s="7"/>
      <c r="G4" s="8">
        <v>1.0</v>
      </c>
      <c r="H4" s="8">
        <v>2.0</v>
      </c>
      <c r="I4" s="8"/>
      <c r="J4" s="8">
        <v>2.0</v>
      </c>
      <c r="L4" s="13">
        <v>46024.0</v>
      </c>
      <c r="M4" s="18">
        <f>2450+500</f>
        <v>2950</v>
      </c>
      <c r="N4" s="3"/>
      <c r="O4" s="15" t="s">
        <v>6</v>
      </c>
      <c r="P4" s="15" t="s">
        <v>30</v>
      </c>
      <c r="R4" s="17" t="s">
        <v>7</v>
      </c>
      <c r="S4" s="8">
        <f>270+2000</f>
        <v>2270</v>
      </c>
      <c r="T4" s="8">
        <v>3000.0</v>
      </c>
      <c r="Z4" s="17" t="s">
        <v>7</v>
      </c>
      <c r="AA4" s="7">
        <f>C37</f>
        <v>36.5</v>
      </c>
      <c r="AB4" s="7">
        <f>AA4*W2</f>
        <v>2116.27</v>
      </c>
      <c r="AC4" s="7">
        <f t="shared" si="1"/>
        <v>2270</v>
      </c>
      <c r="AD4" s="7">
        <f>(AC4-AB4)+'January 2026'!AD4</f>
        <v>1403.83</v>
      </c>
    </row>
    <row r="5">
      <c r="A5" s="12">
        <v>46056.0</v>
      </c>
      <c r="B5" s="8">
        <v>2.0</v>
      </c>
      <c r="C5" s="8">
        <v>2.0</v>
      </c>
      <c r="D5" s="8"/>
      <c r="E5" s="8"/>
      <c r="F5" s="7"/>
      <c r="G5" s="8">
        <v>2.0</v>
      </c>
      <c r="H5" s="8">
        <v>3.0</v>
      </c>
      <c r="I5" s="8">
        <v>1.0</v>
      </c>
      <c r="J5" s="8">
        <v>2.0</v>
      </c>
      <c r="L5" s="13">
        <v>46025.0</v>
      </c>
      <c r="M5" s="14"/>
      <c r="N5" s="3"/>
      <c r="O5" s="16"/>
      <c r="P5" s="16"/>
      <c r="R5" s="17" t="s">
        <v>8</v>
      </c>
      <c r="S5" s="7">
        <f>1400</f>
        <v>1400</v>
      </c>
      <c r="T5" s="8">
        <v>3000.0</v>
      </c>
      <c r="Z5" s="17" t="s">
        <v>8</v>
      </c>
      <c r="AA5" s="7">
        <f>D37</f>
        <v>5</v>
      </c>
      <c r="AB5" s="7">
        <f>AA5*W2</f>
        <v>289.9</v>
      </c>
      <c r="AC5" s="7">
        <f t="shared" si="1"/>
        <v>1400</v>
      </c>
      <c r="AD5" s="7">
        <f>(AC5-AB5)+'January 2026'!AD5</f>
        <v>62.14</v>
      </c>
    </row>
    <row r="6">
      <c r="A6" s="12">
        <v>46057.0</v>
      </c>
      <c r="B6" s="8">
        <v>2.0</v>
      </c>
      <c r="C6" s="8">
        <v>2.0</v>
      </c>
      <c r="D6" s="7"/>
      <c r="E6" s="7"/>
      <c r="F6" s="7"/>
      <c r="G6" s="8">
        <v>2.0</v>
      </c>
      <c r="H6" s="8">
        <v>2.0</v>
      </c>
      <c r="I6" s="8">
        <v>1.0</v>
      </c>
      <c r="J6" s="8">
        <v>2.0</v>
      </c>
      <c r="L6" s="13">
        <v>46026.0</v>
      </c>
      <c r="M6" s="14">
        <f>1530</f>
        <v>1530</v>
      </c>
      <c r="N6" s="3"/>
      <c r="O6" s="15" t="s">
        <v>6</v>
      </c>
      <c r="P6" s="15" t="s">
        <v>33</v>
      </c>
      <c r="R6" s="17" t="s">
        <v>9</v>
      </c>
      <c r="S6" s="7">
        <f>1040</f>
        <v>1040</v>
      </c>
      <c r="T6" s="8">
        <v>3000.0</v>
      </c>
      <c r="Z6" s="17" t="s">
        <v>9</v>
      </c>
      <c r="AA6" s="7">
        <f>E37</f>
        <v>24</v>
      </c>
      <c r="AB6" s="7">
        <f>AA6*W2</f>
        <v>1391.52</v>
      </c>
      <c r="AC6" s="7">
        <f t="shared" si="1"/>
        <v>1040</v>
      </c>
      <c r="AD6" s="7">
        <f>(AC6-AB6)+'January 2026'!AD6</f>
        <v>255.86</v>
      </c>
    </row>
    <row r="7">
      <c r="A7" s="12">
        <v>46058.0</v>
      </c>
      <c r="B7" s="8">
        <v>2.0</v>
      </c>
      <c r="C7" s="8">
        <v>2.0</v>
      </c>
      <c r="D7" s="8"/>
      <c r="E7" s="8"/>
      <c r="F7" s="8"/>
      <c r="G7" s="8">
        <v>2.0</v>
      </c>
      <c r="H7" s="8">
        <v>2.0</v>
      </c>
      <c r="I7" s="8">
        <v>1.0</v>
      </c>
      <c r="J7" s="8">
        <v>2.0</v>
      </c>
      <c r="L7" s="13">
        <v>46027.0</v>
      </c>
      <c r="M7" s="14">
        <f>480</f>
        <v>480</v>
      </c>
      <c r="N7" s="3"/>
      <c r="O7" s="15" t="s">
        <v>37</v>
      </c>
      <c r="P7" s="15"/>
      <c r="R7" s="17" t="s">
        <v>10</v>
      </c>
      <c r="S7" s="7"/>
      <c r="T7" s="8">
        <v>3000.0</v>
      </c>
      <c r="Z7" s="17" t="s">
        <v>10</v>
      </c>
      <c r="AA7" s="7">
        <f>F37</f>
        <v>18</v>
      </c>
      <c r="AB7" s="7">
        <f>AA7*W2</f>
        <v>1043.64</v>
      </c>
      <c r="AC7" s="7" t="str">
        <f t="shared" si="1"/>
        <v/>
      </c>
      <c r="AD7" s="7">
        <f>(AC7-AB7)+'January 2026'!AD7</f>
        <v>-790.24</v>
      </c>
    </row>
    <row r="8">
      <c r="A8" s="12">
        <v>46059.0</v>
      </c>
      <c r="B8" s="8">
        <v>2.0</v>
      </c>
      <c r="C8" s="8">
        <v>2.0</v>
      </c>
      <c r="D8" s="8"/>
      <c r="E8" s="8"/>
      <c r="F8" s="8"/>
      <c r="G8" s="8">
        <v>2.0</v>
      </c>
      <c r="H8" s="8">
        <v>2.0</v>
      </c>
      <c r="I8" s="8"/>
      <c r="J8" s="8">
        <v>2.0</v>
      </c>
      <c r="L8" s="13">
        <v>46028.0</v>
      </c>
      <c r="M8" s="14">
        <f>270</f>
        <v>270</v>
      </c>
      <c r="N8" s="3"/>
      <c r="O8" s="15" t="s">
        <v>7</v>
      </c>
      <c r="P8" s="15" t="s">
        <v>39</v>
      </c>
      <c r="R8" s="17" t="s">
        <v>11</v>
      </c>
      <c r="S8" s="7">
        <f>2600+200-400</f>
        <v>2400</v>
      </c>
      <c r="T8" s="8">
        <v>3000.0</v>
      </c>
      <c r="Z8" s="17" t="s">
        <v>11</v>
      </c>
      <c r="AA8" s="7">
        <f>G37</f>
        <v>51.5</v>
      </c>
      <c r="AB8" s="7">
        <f>AA8*W2</f>
        <v>2985.97</v>
      </c>
      <c r="AC8" s="7">
        <f t="shared" si="1"/>
        <v>2400</v>
      </c>
      <c r="AD8" s="7">
        <f>(AC8-AB8)+'January 2026'!AD8</f>
        <v>-2274.35</v>
      </c>
    </row>
    <row r="9">
      <c r="A9" s="12">
        <v>46060.0</v>
      </c>
      <c r="B9" s="8"/>
      <c r="C9" s="8">
        <v>2.0</v>
      </c>
      <c r="D9" s="8"/>
      <c r="E9" s="8"/>
      <c r="F9" s="8"/>
      <c r="G9" s="8">
        <v>2.0</v>
      </c>
      <c r="H9" s="8">
        <v>2.0</v>
      </c>
      <c r="I9" s="8"/>
      <c r="J9" s="8">
        <v>1.0</v>
      </c>
      <c r="L9" s="13">
        <v>46029.0</v>
      </c>
      <c r="M9" s="18">
        <f>100</f>
        <v>100</v>
      </c>
      <c r="N9" s="3"/>
      <c r="O9" s="15" t="s">
        <v>6</v>
      </c>
      <c r="P9" s="15" t="s">
        <v>41</v>
      </c>
      <c r="R9" s="17" t="s">
        <v>12</v>
      </c>
      <c r="S9" s="7">
        <f>270</f>
        <v>270</v>
      </c>
      <c r="T9" s="8">
        <v>3000.0</v>
      </c>
      <c r="Z9" s="17" t="s">
        <v>12</v>
      </c>
      <c r="AA9" s="7">
        <f>H37</f>
        <v>22</v>
      </c>
      <c r="AB9" s="7">
        <f>AA9*W2</f>
        <v>1275.56</v>
      </c>
      <c r="AC9" s="7">
        <f t="shared" si="1"/>
        <v>270</v>
      </c>
      <c r="AD9" s="7">
        <f>(AC9-AB9)+'January 2026'!AD9</f>
        <v>-1141.64</v>
      </c>
    </row>
    <row r="10">
      <c r="A10" s="12">
        <v>46061.0</v>
      </c>
      <c r="B10" s="8"/>
      <c r="C10" s="8">
        <v>1.0</v>
      </c>
      <c r="D10" s="8"/>
      <c r="E10" s="8"/>
      <c r="F10" s="8"/>
      <c r="G10" s="8">
        <v>1.0</v>
      </c>
      <c r="H10" s="8">
        <v>1.0</v>
      </c>
      <c r="I10" s="8"/>
      <c r="J10" s="8">
        <v>1.0</v>
      </c>
      <c r="L10" s="13">
        <v>46030.0</v>
      </c>
      <c r="M10" s="14"/>
      <c r="N10" s="3"/>
      <c r="O10" s="15"/>
      <c r="P10" s="15"/>
      <c r="R10" s="17" t="s">
        <v>14</v>
      </c>
      <c r="S10" s="7">
        <f>1500+430+370+500</f>
        <v>2800</v>
      </c>
      <c r="T10" s="8">
        <v>3000.0</v>
      </c>
      <c r="Z10" s="17" t="s">
        <v>14</v>
      </c>
      <c r="AA10" s="7">
        <f>I37</f>
        <v>28</v>
      </c>
      <c r="AB10" s="7">
        <f>AA10*W2</f>
        <v>1623.44</v>
      </c>
      <c r="AC10" s="7">
        <f t="shared" si="1"/>
        <v>2800</v>
      </c>
      <c r="AD10" s="7">
        <f>(AC10-AB10)+'January 2026'!AD10</f>
        <v>1483.52</v>
      </c>
    </row>
    <row r="11">
      <c r="A11" s="12">
        <v>46062.0</v>
      </c>
      <c r="B11" s="8"/>
      <c r="C11" s="8">
        <v>0.5</v>
      </c>
      <c r="D11" s="8"/>
      <c r="E11" s="8"/>
      <c r="F11" s="8"/>
      <c r="G11" s="8">
        <v>0.5</v>
      </c>
      <c r="H11" s="8"/>
      <c r="I11" s="8"/>
      <c r="J11" s="8">
        <v>0.5</v>
      </c>
      <c r="L11" s="13">
        <v>46031.0</v>
      </c>
      <c r="M11" s="14">
        <f>270</f>
        <v>270</v>
      </c>
      <c r="N11" s="3"/>
      <c r="O11" s="15" t="s">
        <v>12</v>
      </c>
      <c r="P11" s="15" t="s">
        <v>38</v>
      </c>
      <c r="R11" s="17" t="s">
        <v>15</v>
      </c>
      <c r="S11" s="8">
        <f>480+1200+210</f>
        <v>1890</v>
      </c>
      <c r="T11" s="8"/>
      <c r="Z11" s="17" t="s">
        <v>15</v>
      </c>
      <c r="AA11" s="7">
        <f>J37</f>
        <v>40.5</v>
      </c>
      <c r="AB11" s="7">
        <f>AA11*W2</f>
        <v>2348.19</v>
      </c>
      <c r="AC11" s="7">
        <f t="shared" si="1"/>
        <v>1890</v>
      </c>
      <c r="AD11" s="7">
        <f>(AC11-AB11)+'January 2026'!AD11</f>
        <v>-458.19</v>
      </c>
    </row>
    <row r="12">
      <c r="A12" s="12">
        <v>46063.0</v>
      </c>
      <c r="B12" s="8"/>
      <c r="C12" s="8">
        <v>2.0</v>
      </c>
      <c r="D12" s="8"/>
      <c r="E12" s="8"/>
      <c r="F12" s="8"/>
      <c r="G12" s="8">
        <v>2.0</v>
      </c>
      <c r="H12" s="8"/>
      <c r="I12" s="8"/>
      <c r="J12" s="8">
        <v>2.0</v>
      </c>
      <c r="L12" s="13">
        <v>46032.0</v>
      </c>
      <c r="M12" s="14"/>
      <c r="N12" s="3"/>
      <c r="O12" s="16"/>
      <c r="P12" s="16"/>
      <c r="R12" s="5" t="s">
        <v>46</v>
      </c>
      <c r="S12" s="7">
        <f>SUM(S3:S11)</f>
        <v>16650</v>
      </c>
      <c r="T12" s="7">
        <f>SUM(T2:T11)</f>
        <v>24000</v>
      </c>
      <c r="Z12" s="5" t="s">
        <v>46</v>
      </c>
      <c r="AA12" s="7">
        <f t="shared" ref="AA12:AC12" si="2">SUM(AA2:AA11)</f>
        <v>264.5</v>
      </c>
      <c r="AB12" s="7">
        <f t="shared" si="2"/>
        <v>15335.71</v>
      </c>
      <c r="AC12" s="7">
        <f t="shared" si="2"/>
        <v>16650</v>
      </c>
      <c r="AD12" s="7">
        <f>CEILING(AC12-AB12, 1)+'January 2026'!AD12</f>
        <v>2015</v>
      </c>
    </row>
    <row r="13">
      <c r="A13" s="12">
        <v>46064.0</v>
      </c>
      <c r="B13" s="8"/>
      <c r="C13" s="8"/>
      <c r="D13" s="8"/>
      <c r="E13" s="8"/>
      <c r="F13" s="8"/>
      <c r="G13" s="8"/>
      <c r="H13" s="8"/>
      <c r="I13" s="8"/>
      <c r="J13" s="7"/>
      <c r="L13" s="13">
        <v>46033.0</v>
      </c>
      <c r="M13" s="14"/>
      <c r="N13" s="3"/>
      <c r="O13" s="16"/>
      <c r="P13" s="16"/>
    </row>
    <row r="14">
      <c r="A14" s="12">
        <v>46065.0</v>
      </c>
      <c r="B14" s="8"/>
      <c r="C14" s="8"/>
      <c r="D14" s="7"/>
      <c r="E14" s="8"/>
      <c r="F14" s="7"/>
      <c r="G14" s="8"/>
      <c r="H14" s="8"/>
      <c r="I14" s="8"/>
      <c r="J14" s="7"/>
      <c r="L14" s="13">
        <v>46034.0</v>
      </c>
      <c r="M14" s="14"/>
      <c r="N14" s="3"/>
      <c r="O14" s="15"/>
      <c r="P14" s="15"/>
    </row>
    <row r="15">
      <c r="A15" s="12">
        <v>46066.0</v>
      </c>
      <c r="B15" s="8"/>
      <c r="C15" s="8"/>
      <c r="D15" s="7"/>
      <c r="E15" s="8"/>
      <c r="F15" s="7"/>
      <c r="G15" s="7"/>
      <c r="H15" s="8"/>
      <c r="I15" s="8"/>
      <c r="J15" s="7"/>
      <c r="L15" s="13">
        <v>46035.0</v>
      </c>
      <c r="M15" s="14"/>
      <c r="N15" s="3"/>
      <c r="O15" s="15"/>
      <c r="P15" s="15"/>
    </row>
    <row r="16">
      <c r="A16" s="12">
        <v>46067.0</v>
      </c>
      <c r="B16" s="8"/>
      <c r="C16" s="8"/>
      <c r="D16" s="7"/>
      <c r="E16" s="8"/>
      <c r="F16" s="8"/>
      <c r="G16" s="8"/>
      <c r="H16" s="7"/>
      <c r="I16" s="8"/>
      <c r="J16" s="7"/>
      <c r="L16" s="13">
        <v>46036.0</v>
      </c>
      <c r="M16" s="14"/>
      <c r="N16" s="3"/>
      <c r="O16" s="16"/>
      <c r="P16" s="16"/>
    </row>
    <row r="17">
      <c r="A17" s="12">
        <v>46068.0</v>
      </c>
      <c r="B17" s="8"/>
      <c r="C17" s="8"/>
      <c r="D17" s="7"/>
      <c r="E17" s="8"/>
      <c r="F17" s="8"/>
      <c r="G17" s="8"/>
      <c r="H17" s="7"/>
      <c r="I17" s="8"/>
      <c r="J17" s="7"/>
      <c r="L17" s="13">
        <v>46037.0</v>
      </c>
      <c r="M17" s="14"/>
      <c r="N17" s="3"/>
      <c r="O17" s="15"/>
      <c r="P17" s="15"/>
    </row>
    <row r="18">
      <c r="A18" s="12">
        <v>46069.0</v>
      </c>
      <c r="B18" s="8">
        <v>1.0</v>
      </c>
      <c r="C18" s="8">
        <v>1.0</v>
      </c>
      <c r="D18" s="8">
        <v>2.0</v>
      </c>
      <c r="E18" s="8">
        <v>1.0</v>
      </c>
      <c r="F18" s="8"/>
      <c r="G18" s="8">
        <v>1.0</v>
      </c>
      <c r="H18" s="7"/>
      <c r="I18" s="8"/>
      <c r="J18" s="8">
        <v>1.0</v>
      </c>
      <c r="L18" s="13">
        <v>46038.0</v>
      </c>
      <c r="M18" s="14"/>
      <c r="N18" s="3"/>
      <c r="O18" s="15"/>
      <c r="P18" s="15"/>
    </row>
    <row r="19">
      <c r="A19" s="12">
        <v>46070.0</v>
      </c>
      <c r="B19" s="8">
        <v>3.0</v>
      </c>
      <c r="C19" s="8">
        <v>2.0</v>
      </c>
      <c r="D19" s="8">
        <v>2.0</v>
      </c>
      <c r="E19" s="8"/>
      <c r="F19" s="8"/>
      <c r="G19" s="8">
        <v>2.0</v>
      </c>
      <c r="H19" s="7"/>
      <c r="I19" s="8"/>
      <c r="J19" s="8">
        <v>1.0</v>
      </c>
      <c r="L19" s="13">
        <v>46039.0</v>
      </c>
      <c r="M19" s="18">
        <v>1500.0</v>
      </c>
      <c r="N19" s="3"/>
      <c r="O19" s="15" t="s">
        <v>6</v>
      </c>
      <c r="P19" s="15" t="s">
        <v>55</v>
      </c>
    </row>
    <row r="20">
      <c r="A20" s="12">
        <v>46071.0</v>
      </c>
      <c r="B20" s="8">
        <v>3.0</v>
      </c>
      <c r="C20" s="8">
        <v>3.0</v>
      </c>
      <c r="D20" s="8"/>
      <c r="E20" s="8">
        <v>2.0</v>
      </c>
      <c r="F20" s="8"/>
      <c r="G20" s="8">
        <v>4.0</v>
      </c>
      <c r="H20" s="8"/>
      <c r="I20" s="8">
        <v>2.0</v>
      </c>
      <c r="J20" s="8">
        <v>2.0</v>
      </c>
      <c r="L20" s="13">
        <v>46040.0</v>
      </c>
      <c r="M20" s="14">
        <f>1000</f>
        <v>1000</v>
      </c>
      <c r="N20" s="3"/>
      <c r="O20" s="15" t="s">
        <v>57</v>
      </c>
      <c r="P20" s="15" t="s">
        <v>58</v>
      </c>
    </row>
    <row r="21">
      <c r="A21" s="12">
        <v>46072.0</v>
      </c>
      <c r="B21" s="8">
        <v>2.0</v>
      </c>
      <c r="C21" s="8">
        <v>1.0</v>
      </c>
      <c r="D21" s="7"/>
      <c r="E21" s="8">
        <v>2.0</v>
      </c>
      <c r="F21" s="8"/>
      <c r="G21" s="8">
        <v>3.0</v>
      </c>
      <c r="H21" s="8"/>
      <c r="I21" s="8">
        <v>2.0</v>
      </c>
      <c r="J21" s="8">
        <v>2.0</v>
      </c>
      <c r="L21" s="13">
        <v>46041.0</v>
      </c>
      <c r="M21" s="14">
        <f>240</f>
        <v>240</v>
      </c>
      <c r="N21" s="3"/>
      <c r="O21" s="15" t="s">
        <v>11</v>
      </c>
      <c r="P21" s="15" t="s">
        <v>69</v>
      </c>
    </row>
    <row r="22">
      <c r="A22" s="19">
        <v>46073.0</v>
      </c>
      <c r="B22" s="8">
        <v>1.0</v>
      </c>
      <c r="C22" s="8"/>
      <c r="D22" s="7"/>
      <c r="E22" s="8">
        <v>1.0</v>
      </c>
      <c r="F22" s="8"/>
      <c r="G22" s="8">
        <v>1.0</v>
      </c>
      <c r="H22" s="8"/>
      <c r="I22" s="8"/>
      <c r="J22" s="8">
        <v>1.0</v>
      </c>
      <c r="L22" s="20">
        <v>46042.0</v>
      </c>
      <c r="M22" s="14">
        <f>260+130</f>
        <v>390</v>
      </c>
      <c r="N22" s="3"/>
      <c r="O22" s="15" t="s">
        <v>71</v>
      </c>
      <c r="P22" s="15" t="s">
        <v>73</v>
      </c>
    </row>
    <row r="23">
      <c r="A23" s="21"/>
      <c r="B23" s="8">
        <v>1.0</v>
      </c>
      <c r="C23" s="8">
        <v>1.0</v>
      </c>
      <c r="D23" s="7"/>
      <c r="E23" s="8">
        <v>1.0</v>
      </c>
      <c r="F23" s="8"/>
      <c r="G23" s="8">
        <v>2.0</v>
      </c>
      <c r="H23" s="8"/>
      <c r="I23" s="8">
        <v>3.0</v>
      </c>
      <c r="J23" s="8">
        <v>1.0</v>
      </c>
      <c r="L23" s="21"/>
      <c r="M23" s="14">
        <f>430</f>
        <v>430</v>
      </c>
      <c r="N23" s="3"/>
      <c r="O23" s="15" t="s">
        <v>14</v>
      </c>
      <c r="P23" s="15" t="s">
        <v>75</v>
      </c>
    </row>
    <row r="24">
      <c r="A24" s="12">
        <v>46074.0</v>
      </c>
      <c r="B24" s="8">
        <v>2.0</v>
      </c>
      <c r="C24" s="8">
        <v>3.0</v>
      </c>
      <c r="D24" s="7"/>
      <c r="E24" s="8">
        <v>2.0</v>
      </c>
      <c r="F24" s="8"/>
      <c r="G24" s="8">
        <v>3.0</v>
      </c>
      <c r="H24" s="8"/>
      <c r="I24" s="8">
        <v>2.0</v>
      </c>
      <c r="J24" s="8">
        <v>2.0</v>
      </c>
      <c r="L24" s="13">
        <v>46043.0</v>
      </c>
      <c r="M24" s="14">
        <f>500</f>
        <v>500</v>
      </c>
      <c r="N24" s="3"/>
      <c r="O24" s="15" t="s">
        <v>67</v>
      </c>
      <c r="P24" s="15" t="s">
        <v>76</v>
      </c>
    </row>
    <row r="25">
      <c r="A25" s="19">
        <v>46075.0</v>
      </c>
      <c r="B25" s="8">
        <v>1.0</v>
      </c>
      <c r="C25" s="8"/>
      <c r="D25" s="7"/>
      <c r="E25" s="8">
        <v>1.0</v>
      </c>
      <c r="F25" s="8"/>
      <c r="G25" s="8">
        <v>1.0</v>
      </c>
      <c r="H25" s="8"/>
      <c r="I25" s="8"/>
      <c r="J25" s="8">
        <v>1.0</v>
      </c>
      <c r="L25" s="20">
        <v>46044.0</v>
      </c>
      <c r="M25" s="14">
        <f>100+120+40+ 60</f>
        <v>320</v>
      </c>
      <c r="N25" s="3"/>
      <c r="O25" s="15" t="s">
        <v>31</v>
      </c>
      <c r="P25" s="15" t="s">
        <v>79</v>
      </c>
    </row>
    <row r="26">
      <c r="A26" s="21"/>
      <c r="B26" s="8">
        <v>1.0</v>
      </c>
      <c r="C26" s="8">
        <v>1.0</v>
      </c>
      <c r="D26" s="7"/>
      <c r="E26" s="8">
        <v>1.0</v>
      </c>
      <c r="F26" s="8">
        <v>1.0</v>
      </c>
      <c r="G26" s="8">
        <v>2.0</v>
      </c>
      <c r="H26" s="8"/>
      <c r="I26" s="8">
        <v>1.0</v>
      </c>
      <c r="J26" s="8">
        <v>1.0</v>
      </c>
      <c r="L26" s="21"/>
      <c r="M26" s="18">
        <f>1040+265</f>
        <v>1305</v>
      </c>
      <c r="N26" s="3"/>
      <c r="O26" s="15" t="s">
        <v>81</v>
      </c>
      <c r="P26" s="15" t="s">
        <v>82</v>
      </c>
    </row>
    <row r="27">
      <c r="A27" s="12">
        <v>46076.0</v>
      </c>
      <c r="B27" s="8">
        <v>2.0</v>
      </c>
      <c r="C27" s="8">
        <v>1.0</v>
      </c>
      <c r="D27" s="8"/>
      <c r="E27" s="8"/>
      <c r="F27" s="8">
        <v>3.0</v>
      </c>
      <c r="G27" s="8">
        <v>3.0</v>
      </c>
      <c r="H27" s="8"/>
      <c r="I27" s="8">
        <v>2.0</v>
      </c>
      <c r="J27" s="8">
        <v>2.0</v>
      </c>
      <c r="L27" s="13">
        <v>46045.0</v>
      </c>
      <c r="M27" s="14">
        <f>370</f>
        <v>370</v>
      </c>
      <c r="N27" s="3"/>
      <c r="O27" s="15" t="s">
        <v>14</v>
      </c>
      <c r="P27" s="15" t="s">
        <v>84</v>
      </c>
    </row>
    <row r="28">
      <c r="A28" s="19">
        <v>46077.0</v>
      </c>
      <c r="B28" s="8">
        <v>1.0</v>
      </c>
      <c r="C28" s="7"/>
      <c r="D28" s="8"/>
      <c r="E28" s="8"/>
      <c r="F28" s="8">
        <v>2.0</v>
      </c>
      <c r="G28" s="8">
        <v>1.0</v>
      </c>
      <c r="H28" s="8"/>
      <c r="I28" s="8">
        <v>1.0</v>
      </c>
      <c r="J28" s="8">
        <v>1.0</v>
      </c>
      <c r="L28" s="20">
        <v>46046.0</v>
      </c>
      <c r="M28" s="14">
        <f>100+260+140</f>
        <v>500</v>
      </c>
      <c r="N28" s="3"/>
      <c r="O28" s="15" t="s">
        <v>87</v>
      </c>
      <c r="P28" s="16"/>
    </row>
    <row r="29">
      <c r="A29" s="21"/>
      <c r="B29" s="8">
        <v>1.0</v>
      </c>
      <c r="C29" s="8">
        <v>1.0</v>
      </c>
      <c r="D29" s="8"/>
      <c r="E29" s="8">
        <v>1.0</v>
      </c>
      <c r="F29" s="8">
        <v>1.0</v>
      </c>
      <c r="G29" s="8">
        <v>2.0</v>
      </c>
      <c r="H29" s="8"/>
      <c r="I29" s="8">
        <v>1.0</v>
      </c>
      <c r="J29" s="8">
        <v>1.0</v>
      </c>
      <c r="L29" s="21"/>
      <c r="M29" s="14">
        <f>600+210</f>
        <v>810</v>
      </c>
      <c r="N29" s="3"/>
      <c r="O29" s="15" t="s">
        <v>88</v>
      </c>
      <c r="P29" s="15" t="s">
        <v>89</v>
      </c>
    </row>
    <row r="30">
      <c r="A30" s="12">
        <v>46078.0</v>
      </c>
      <c r="B30" s="8">
        <v>2.0</v>
      </c>
      <c r="C30" s="8">
        <v>1.0</v>
      </c>
      <c r="D30" s="8"/>
      <c r="E30" s="8">
        <v>1.0</v>
      </c>
      <c r="F30" s="8">
        <v>3.0</v>
      </c>
      <c r="G30" s="8">
        <v>2.0</v>
      </c>
      <c r="H30" s="8">
        <v>2.0</v>
      </c>
      <c r="I30" s="8">
        <v>2.0</v>
      </c>
      <c r="J30" s="8">
        <v>2.0</v>
      </c>
      <c r="L30" s="13">
        <v>46047.0</v>
      </c>
      <c r="M30" s="14">
        <f>50</f>
        <v>50</v>
      </c>
      <c r="N30" s="3"/>
      <c r="O30" s="15" t="s">
        <v>6</v>
      </c>
      <c r="P30" s="15" t="s">
        <v>92</v>
      </c>
    </row>
    <row r="31">
      <c r="A31" s="12">
        <v>46079.0</v>
      </c>
      <c r="B31" s="8">
        <v>2.0</v>
      </c>
      <c r="C31" s="8">
        <v>1.0</v>
      </c>
      <c r="D31" s="8"/>
      <c r="E31" s="8">
        <v>4.0</v>
      </c>
      <c r="F31" s="8">
        <v>3.0</v>
      </c>
      <c r="G31" s="8">
        <v>3.0</v>
      </c>
      <c r="H31" s="8"/>
      <c r="I31" s="8">
        <v>2.0</v>
      </c>
      <c r="J31" s="8">
        <v>2.0</v>
      </c>
      <c r="L31" s="13">
        <v>46048.0</v>
      </c>
      <c r="M31" s="18">
        <f>800</f>
        <v>800</v>
      </c>
      <c r="N31" s="3"/>
      <c r="O31" s="15" t="s">
        <v>11</v>
      </c>
      <c r="P31" s="15" t="s">
        <v>94</v>
      </c>
    </row>
    <row r="32">
      <c r="A32" s="12">
        <v>46080.0</v>
      </c>
      <c r="B32" s="8">
        <v>3.0</v>
      </c>
      <c r="C32" s="8">
        <v>1.0</v>
      </c>
      <c r="D32" s="7"/>
      <c r="E32" s="8">
        <v>4.0</v>
      </c>
      <c r="F32" s="8">
        <v>2.0</v>
      </c>
      <c r="G32" s="8">
        <v>3.0</v>
      </c>
      <c r="H32" s="8"/>
      <c r="I32" s="8">
        <v>2.0</v>
      </c>
      <c r="J32" s="8">
        <v>2.0</v>
      </c>
      <c r="L32" s="13">
        <v>46049.0</v>
      </c>
      <c r="M32" s="18">
        <f>600</f>
        <v>600</v>
      </c>
      <c r="N32" s="3"/>
      <c r="O32" s="15" t="s">
        <v>67</v>
      </c>
      <c r="P32" s="15" t="s">
        <v>95</v>
      </c>
    </row>
    <row r="33">
      <c r="A33" s="12">
        <v>46081.0</v>
      </c>
      <c r="B33" s="8">
        <v>2.0</v>
      </c>
      <c r="C33" s="8">
        <v>2.0</v>
      </c>
      <c r="D33" s="7"/>
      <c r="E33" s="8">
        <v>2.0</v>
      </c>
      <c r="F33" s="8">
        <v>3.0</v>
      </c>
      <c r="G33" s="8">
        <v>3.0</v>
      </c>
      <c r="H33" s="8">
        <v>3.0</v>
      </c>
      <c r="I33" s="8">
        <v>4.0</v>
      </c>
      <c r="J33" s="8">
        <v>2.0</v>
      </c>
      <c r="L33" s="13">
        <v>46050.0</v>
      </c>
      <c r="M33" s="14">
        <f>880+40</f>
        <v>920</v>
      </c>
      <c r="N33" s="3"/>
      <c r="O33" s="15" t="s">
        <v>11</v>
      </c>
      <c r="P33" s="15" t="s">
        <v>96</v>
      </c>
    </row>
    <row r="34">
      <c r="A34" s="12"/>
      <c r="B34" s="8"/>
      <c r="C34" s="8"/>
      <c r="D34" s="8"/>
      <c r="E34" s="8"/>
      <c r="F34" s="8"/>
      <c r="G34" s="8"/>
      <c r="H34" s="8"/>
      <c r="I34" s="8"/>
      <c r="J34" s="7"/>
      <c r="L34" s="13">
        <v>46051.0</v>
      </c>
      <c r="M34" s="18"/>
      <c r="N34" s="3"/>
      <c r="O34" s="15"/>
      <c r="P34" s="15"/>
    </row>
    <row r="35">
      <c r="A35" s="12"/>
      <c r="B35" s="8"/>
      <c r="C35" s="8"/>
      <c r="D35" s="8"/>
      <c r="E35" s="8"/>
      <c r="F35" s="7"/>
      <c r="G35" s="7"/>
      <c r="H35" s="8"/>
      <c r="I35" s="7"/>
      <c r="J35" s="7"/>
      <c r="L35" s="13">
        <v>46052.0</v>
      </c>
      <c r="M35" s="14">
        <f>-700</f>
        <v>-700</v>
      </c>
      <c r="N35" s="3"/>
      <c r="O35" s="15" t="s">
        <v>6</v>
      </c>
      <c r="P35" s="15" t="s">
        <v>86</v>
      </c>
    </row>
    <row r="36">
      <c r="A36" s="12"/>
      <c r="B36" s="8"/>
      <c r="C36" s="8"/>
      <c r="D36" s="8"/>
      <c r="E36" s="7"/>
      <c r="F36" s="7"/>
      <c r="G36" s="7"/>
      <c r="H36" s="8"/>
      <c r="I36" s="8"/>
      <c r="J36" s="7"/>
      <c r="L36" s="13">
        <v>46053.0</v>
      </c>
      <c r="M36" s="14"/>
      <c r="N36" s="3"/>
      <c r="O36" s="16"/>
      <c r="P36" s="15"/>
    </row>
    <row r="37">
      <c r="A37" s="5" t="s">
        <v>46</v>
      </c>
      <c r="B37" s="22">
        <f t="shared" ref="B37:J37" si="3">SUM(B2:B36)</f>
        <v>39</v>
      </c>
      <c r="C37" s="22">
        <f t="shared" si="3"/>
        <v>36.5</v>
      </c>
      <c r="D37" s="22">
        <f t="shared" si="3"/>
        <v>5</v>
      </c>
      <c r="E37" s="22">
        <f t="shared" si="3"/>
        <v>24</v>
      </c>
      <c r="F37" s="22">
        <f t="shared" si="3"/>
        <v>18</v>
      </c>
      <c r="G37" s="22">
        <f t="shared" si="3"/>
        <v>51.5</v>
      </c>
      <c r="H37" s="22">
        <f t="shared" si="3"/>
        <v>22</v>
      </c>
      <c r="I37" s="22">
        <f t="shared" si="3"/>
        <v>28</v>
      </c>
      <c r="J37" s="22">
        <f t="shared" si="3"/>
        <v>40.5</v>
      </c>
      <c r="L37" s="9" t="s">
        <v>46</v>
      </c>
      <c r="M37" s="23">
        <f>SUM(M3:M36)</f>
        <v>15335</v>
      </c>
      <c r="N37" s="3"/>
      <c r="O37" s="24" t="s">
        <v>90</v>
      </c>
      <c r="P37" s="16"/>
    </row>
    <row r="38">
      <c r="A38" s="25">
        <f>SUM(B37:J37)</f>
        <v>264.5</v>
      </c>
    </row>
    <row r="40">
      <c r="L40" s="26" t="s">
        <v>91</v>
      </c>
      <c r="M40" s="27">
        <f>(S12-M37)+'January 2026'!M37</f>
        <v>2015</v>
      </c>
      <c r="O40" s="28" t="s">
        <v>90</v>
      </c>
      <c r="P40" s="29" t="s">
        <v>98</v>
      </c>
    </row>
  </sheetData>
  <mergeCells count="48">
    <mergeCell ref="A1:J1"/>
    <mergeCell ref="L1:P1"/>
    <mergeCell ref="R1:T1"/>
    <mergeCell ref="V1:X1"/>
    <mergeCell ref="Z1:AD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24:N24"/>
    <mergeCell ref="A22:A23"/>
    <mergeCell ref="A25:A26"/>
    <mergeCell ref="A28:A29"/>
    <mergeCell ref="M18:N18"/>
    <mergeCell ref="M19:N19"/>
    <mergeCell ref="M20:N20"/>
    <mergeCell ref="M21:N21"/>
    <mergeCell ref="L22:L23"/>
    <mergeCell ref="M22:N22"/>
    <mergeCell ref="M23:N23"/>
    <mergeCell ref="L25:L26"/>
    <mergeCell ref="M25:N25"/>
    <mergeCell ref="M26:N26"/>
    <mergeCell ref="M27:N27"/>
    <mergeCell ref="L28:L29"/>
    <mergeCell ref="M28:N28"/>
    <mergeCell ref="M29:N29"/>
    <mergeCell ref="M37:N37"/>
    <mergeCell ref="M40:N40"/>
    <mergeCell ref="M30:N30"/>
    <mergeCell ref="M31:N31"/>
    <mergeCell ref="M32:N32"/>
    <mergeCell ref="M33:N33"/>
    <mergeCell ref="M34:N34"/>
    <mergeCell ref="M35:N35"/>
    <mergeCell ref="M36:N36"/>
  </mergeCells>
  <conditionalFormatting sqref="AD3:AD11">
    <cfRule type="cellIs" dxfId="0" priority="1" operator="greaterThan">
      <formula>0</formula>
    </cfRule>
  </conditionalFormatting>
  <conditionalFormatting sqref="AD3:AD11">
    <cfRule type="cellIs" dxfId="1" priority="2" operator="equal">
      <formula>0</formula>
    </cfRule>
  </conditionalFormatting>
  <conditionalFormatting sqref="AD3:AD11">
    <cfRule type="cellIs" dxfId="2" priority="3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34.0"/>
    <col customWidth="1" min="24" max="24" width="2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M1" s="4" t="s">
        <v>1</v>
      </c>
      <c r="N1" s="2"/>
      <c r="O1" s="2"/>
      <c r="P1" s="2"/>
      <c r="Q1" s="3"/>
      <c r="S1" s="1" t="s">
        <v>2</v>
      </c>
      <c r="T1" s="2"/>
      <c r="U1" s="3"/>
      <c r="W1" s="4" t="s">
        <v>3</v>
      </c>
      <c r="X1" s="2"/>
      <c r="Y1" s="3"/>
      <c r="AA1" s="1" t="s">
        <v>4</v>
      </c>
      <c r="AB1" s="2"/>
      <c r="AC1" s="2"/>
      <c r="AD1" s="2"/>
      <c r="AE1" s="3"/>
    </row>
    <row r="2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15</v>
      </c>
      <c r="J2" s="8" t="s">
        <v>14</v>
      </c>
      <c r="K2" s="8" t="s">
        <v>18</v>
      </c>
      <c r="M2" s="9" t="s">
        <v>5</v>
      </c>
      <c r="N2" s="10" t="s">
        <v>16</v>
      </c>
      <c r="O2" s="3"/>
      <c r="P2" s="9" t="s">
        <v>17</v>
      </c>
      <c r="Q2" s="9" t="s">
        <v>19</v>
      </c>
      <c r="S2" s="5" t="s">
        <v>20</v>
      </c>
      <c r="T2" s="5" t="s">
        <v>16</v>
      </c>
      <c r="U2" s="5" t="s">
        <v>21</v>
      </c>
      <c r="X2" s="11">
        <f>ROUND(N34/A35, 2)</f>
        <v>58.71</v>
      </c>
      <c r="AA2" s="5" t="s">
        <v>20</v>
      </c>
      <c r="AB2" s="5" t="s">
        <v>22</v>
      </c>
      <c r="AC2" s="5" t="s">
        <v>23</v>
      </c>
      <c r="AD2" s="5" t="s">
        <v>24</v>
      </c>
      <c r="AE2" s="5" t="s">
        <v>25</v>
      </c>
    </row>
    <row r="3">
      <c r="A3" s="12">
        <v>46082.0</v>
      </c>
      <c r="B3" s="8">
        <v>2.0</v>
      </c>
      <c r="C3" s="8">
        <v>1.0</v>
      </c>
      <c r="D3" s="7"/>
      <c r="E3" s="8"/>
      <c r="F3" s="8">
        <v>2.0</v>
      </c>
      <c r="G3" s="8">
        <v>2.0</v>
      </c>
      <c r="H3" s="8">
        <v>2.0</v>
      </c>
      <c r="I3" s="8">
        <v>2.0</v>
      </c>
      <c r="J3" s="8">
        <v>2.0</v>
      </c>
      <c r="K3" s="8">
        <v>2.0</v>
      </c>
      <c r="M3" s="13">
        <v>46082.0</v>
      </c>
      <c r="N3" s="14">
        <f>700 + 2500 + 900</f>
        <v>4100</v>
      </c>
      <c r="O3" s="3"/>
      <c r="P3" s="15" t="s">
        <v>28</v>
      </c>
      <c r="Q3" s="15" t="s">
        <v>29</v>
      </c>
      <c r="S3" s="17" t="s">
        <v>6</v>
      </c>
      <c r="T3" s="8">
        <f>1585+500+500-1735+430-1791.79</f>
        <v>-511.79</v>
      </c>
      <c r="U3" s="8">
        <v>3000.0</v>
      </c>
      <c r="AA3" s="17" t="s">
        <v>6</v>
      </c>
      <c r="AB3" s="7">
        <f>B34</f>
        <v>20</v>
      </c>
      <c r="AC3" s="7">
        <f>AB3*X2</f>
        <v>1174.2</v>
      </c>
      <c r="AD3" s="7">
        <f t="shared" ref="AD3:AD12" si="1">T3</f>
        <v>-511.79</v>
      </c>
      <c r="AE3" s="7">
        <f>(AD3-AC3)+'February 2026'!AD3</f>
        <v>1787.13</v>
      </c>
    </row>
    <row r="4">
      <c r="A4" s="12">
        <v>46083.0</v>
      </c>
      <c r="B4" s="8">
        <v>3.0</v>
      </c>
      <c r="C4" s="8">
        <v>1.0</v>
      </c>
      <c r="D4" s="7"/>
      <c r="E4" s="8"/>
      <c r="F4" s="8">
        <v>3.0</v>
      </c>
      <c r="G4" s="8">
        <v>2.0</v>
      </c>
      <c r="H4" s="8">
        <v>2.0</v>
      </c>
      <c r="I4" s="8">
        <v>2.0</v>
      </c>
      <c r="J4" s="8">
        <v>2.0</v>
      </c>
      <c r="K4" s="8">
        <v>2.0</v>
      </c>
      <c r="M4" s="13">
        <v>46083.0</v>
      </c>
      <c r="N4" s="14">
        <f>260+180</f>
        <v>440</v>
      </c>
      <c r="O4" s="3"/>
      <c r="P4" s="15" t="s">
        <v>31</v>
      </c>
      <c r="Q4" s="15" t="s">
        <v>32</v>
      </c>
      <c r="S4" s="17" t="s">
        <v>7</v>
      </c>
      <c r="T4" s="8">
        <v>0.0</v>
      </c>
      <c r="U4" s="8">
        <v>3000.0</v>
      </c>
      <c r="AA4" s="17" t="s">
        <v>7</v>
      </c>
      <c r="AB4" s="7">
        <f>C34</f>
        <v>21</v>
      </c>
      <c r="AC4" s="7">
        <f>AB4*X2</f>
        <v>1232.91</v>
      </c>
      <c r="AD4" s="7">
        <f t="shared" si="1"/>
        <v>0</v>
      </c>
      <c r="AE4" s="7">
        <f>(AD4-AC4)+'February 2026'!AD4</f>
        <v>170.92</v>
      </c>
    </row>
    <row r="5">
      <c r="A5" s="12">
        <v>46084.0</v>
      </c>
      <c r="B5" s="8">
        <v>2.0</v>
      </c>
      <c r="C5" s="8">
        <v>1.0</v>
      </c>
      <c r="D5" s="7"/>
      <c r="E5" s="8">
        <v>1.0</v>
      </c>
      <c r="F5" s="8">
        <v>3.0</v>
      </c>
      <c r="G5" s="8">
        <v>4.0</v>
      </c>
      <c r="H5" s="8">
        <v>3.0</v>
      </c>
      <c r="I5" s="8">
        <v>2.0</v>
      </c>
      <c r="J5" s="8">
        <v>2.0</v>
      </c>
      <c r="K5" s="8">
        <v>2.0</v>
      </c>
      <c r="M5" s="13">
        <v>46084.0</v>
      </c>
      <c r="N5" s="14">
        <f>1000</f>
        <v>1000</v>
      </c>
      <c r="O5" s="3"/>
      <c r="P5" s="15" t="s">
        <v>35</v>
      </c>
      <c r="Q5" s="15" t="s">
        <v>36</v>
      </c>
      <c r="S5" s="17" t="s">
        <v>8</v>
      </c>
      <c r="T5" s="8">
        <v>0.0</v>
      </c>
      <c r="U5" s="8">
        <v>3000.0</v>
      </c>
      <c r="AA5" s="17" t="s">
        <v>8</v>
      </c>
      <c r="AB5" s="7">
        <f>D34</f>
        <v>1</v>
      </c>
      <c r="AC5" s="7">
        <f>AB5*X2</f>
        <v>58.71</v>
      </c>
      <c r="AD5" s="7">
        <f t="shared" si="1"/>
        <v>0</v>
      </c>
      <c r="AE5" s="7">
        <f>(AD5-AC5)+'February 2026'!AD5</f>
        <v>3.43</v>
      </c>
    </row>
    <row r="6">
      <c r="A6" s="12">
        <v>46085.0</v>
      </c>
      <c r="B6" s="8">
        <v>2.0</v>
      </c>
      <c r="C6" s="8">
        <v>1.0</v>
      </c>
      <c r="D6" s="8">
        <v>1.0</v>
      </c>
      <c r="E6" s="7"/>
      <c r="F6" s="8">
        <v>2.0</v>
      </c>
      <c r="G6" s="8">
        <v>2.0</v>
      </c>
      <c r="H6" s="8">
        <v>3.0</v>
      </c>
      <c r="I6" s="8">
        <v>2.0</v>
      </c>
      <c r="J6" s="8">
        <v>1.0</v>
      </c>
      <c r="K6" s="8">
        <v>2.0</v>
      </c>
      <c r="M6" s="13">
        <v>46085.0</v>
      </c>
      <c r="N6" s="14"/>
      <c r="O6" s="3"/>
      <c r="P6" s="15"/>
      <c r="Q6" s="15"/>
      <c r="S6" s="17" t="s">
        <v>9</v>
      </c>
      <c r="T6" s="8">
        <v>0.0</v>
      </c>
      <c r="U6" s="8">
        <v>3000.0</v>
      </c>
      <c r="AA6" s="17" t="s">
        <v>9</v>
      </c>
      <c r="AB6" s="7">
        <f>E34</f>
        <v>3</v>
      </c>
      <c r="AC6" s="7">
        <f>AB6*X2</f>
        <v>176.13</v>
      </c>
      <c r="AD6" s="7">
        <f t="shared" si="1"/>
        <v>0</v>
      </c>
      <c r="AE6" s="7">
        <f>(AD6-AC6)+'February 2026'!AD6</f>
        <v>79.73</v>
      </c>
    </row>
    <row r="7">
      <c r="A7" s="12">
        <v>46086.0</v>
      </c>
      <c r="B7" s="8">
        <v>2.0</v>
      </c>
      <c r="C7" s="8">
        <v>1.0</v>
      </c>
      <c r="D7" s="8"/>
      <c r="E7" s="8"/>
      <c r="F7" s="8">
        <v>3.0</v>
      </c>
      <c r="G7" s="8">
        <v>0.0</v>
      </c>
      <c r="H7" s="8">
        <v>3.0</v>
      </c>
      <c r="I7" s="8">
        <v>2.0</v>
      </c>
      <c r="J7" s="8">
        <v>3.0</v>
      </c>
      <c r="K7" s="8">
        <v>2.0</v>
      </c>
      <c r="M7" s="13">
        <v>46086.0</v>
      </c>
      <c r="N7" s="14">
        <f>1380</f>
        <v>1380</v>
      </c>
      <c r="O7" s="3"/>
      <c r="P7" s="15" t="s">
        <v>14</v>
      </c>
      <c r="Q7" s="15" t="s">
        <v>40</v>
      </c>
      <c r="S7" s="17" t="s">
        <v>10</v>
      </c>
      <c r="T7" s="8">
        <f>2000-265</f>
        <v>1735</v>
      </c>
      <c r="U7" s="8">
        <v>3000.0</v>
      </c>
      <c r="AA7" s="17" t="s">
        <v>10</v>
      </c>
      <c r="AB7" s="7">
        <f>F34</f>
        <v>21</v>
      </c>
      <c r="AC7" s="7">
        <f>AB7*X2</f>
        <v>1232.91</v>
      </c>
      <c r="AD7" s="7">
        <f t="shared" si="1"/>
        <v>1735</v>
      </c>
      <c r="AE7" s="7">
        <f>(AD7-AC7)+'February 2026'!AD7</f>
        <v>-288.15</v>
      </c>
    </row>
    <row r="8">
      <c r="A8" s="12">
        <v>46087.0</v>
      </c>
      <c r="B8" s="8">
        <v>0.0</v>
      </c>
      <c r="C8" s="8">
        <v>1.0</v>
      </c>
      <c r="D8" s="8"/>
      <c r="E8" s="8"/>
      <c r="F8" s="8">
        <v>2.0</v>
      </c>
      <c r="G8" s="8"/>
      <c r="H8" s="8">
        <v>2.0</v>
      </c>
      <c r="I8" s="8">
        <v>1.0</v>
      </c>
      <c r="J8" s="8">
        <v>3.0</v>
      </c>
      <c r="K8" s="8">
        <v>2.0</v>
      </c>
      <c r="M8" s="13">
        <v>46087.0</v>
      </c>
      <c r="N8" s="14">
        <f>830</f>
        <v>830</v>
      </c>
      <c r="O8" s="3"/>
      <c r="P8" s="15" t="s">
        <v>12</v>
      </c>
      <c r="Q8" s="15" t="s">
        <v>40</v>
      </c>
      <c r="S8" s="17" t="s">
        <v>11</v>
      </c>
      <c r="T8" s="8">
        <f>1940+415+475+320+200+190+100</f>
        <v>3640</v>
      </c>
      <c r="U8" s="8">
        <v>3000.0</v>
      </c>
      <c r="AA8" s="17" t="s">
        <v>11</v>
      </c>
      <c r="AB8" s="7">
        <f>G34</f>
        <v>45</v>
      </c>
      <c r="AC8" s="7">
        <f>AB8*X2</f>
        <v>2641.95</v>
      </c>
      <c r="AD8" s="7">
        <f t="shared" si="1"/>
        <v>3640</v>
      </c>
      <c r="AE8" s="7">
        <f>(AD8-AC8)+'February 2026'!AD8</f>
        <v>-1276.3</v>
      </c>
    </row>
    <row r="9">
      <c r="A9" s="12">
        <v>46088.0</v>
      </c>
      <c r="B9" s="8"/>
      <c r="C9" s="8">
        <v>1.0</v>
      </c>
      <c r="D9" s="8"/>
      <c r="E9" s="8"/>
      <c r="F9" s="8">
        <v>2.0</v>
      </c>
      <c r="G9" s="8"/>
      <c r="H9" s="8">
        <v>1.0</v>
      </c>
      <c r="I9" s="8">
        <v>1.0</v>
      </c>
      <c r="J9" s="8">
        <v>2.0</v>
      </c>
      <c r="K9" s="8">
        <v>1.0</v>
      </c>
      <c r="M9" s="13">
        <v>46088.0</v>
      </c>
      <c r="N9" s="18">
        <f>415</f>
        <v>415</v>
      </c>
      <c r="O9" s="3"/>
      <c r="P9" s="15" t="s">
        <v>11</v>
      </c>
      <c r="Q9" s="15" t="s">
        <v>45</v>
      </c>
      <c r="S9" s="17" t="s">
        <v>12</v>
      </c>
      <c r="T9" s="8">
        <f>400+100+500</f>
        <v>1000</v>
      </c>
      <c r="U9" s="8">
        <v>3000.0</v>
      </c>
      <c r="AA9" s="17" t="s">
        <v>12</v>
      </c>
      <c r="AB9" s="7">
        <f>H34</f>
        <v>29</v>
      </c>
      <c r="AC9" s="7">
        <f>AB9*X2</f>
        <v>1702.59</v>
      </c>
      <c r="AD9" s="7">
        <f t="shared" si="1"/>
        <v>1000</v>
      </c>
      <c r="AE9" s="7">
        <f>(AD9-AC9)+'February 2026'!AD9</f>
        <v>-1844.23</v>
      </c>
    </row>
    <row r="10">
      <c r="A10" s="12">
        <v>46089.0</v>
      </c>
      <c r="B10" s="8"/>
      <c r="C10" s="8">
        <v>1.0</v>
      </c>
      <c r="D10" s="8"/>
      <c r="E10" s="8"/>
      <c r="F10" s="8">
        <v>2.0</v>
      </c>
      <c r="G10" s="8">
        <v>3.0</v>
      </c>
      <c r="H10" s="8">
        <v>3.0</v>
      </c>
      <c r="I10" s="8">
        <v>2.0</v>
      </c>
      <c r="J10" s="8">
        <v>2.0</v>
      </c>
      <c r="K10" s="8">
        <v>2.0</v>
      </c>
      <c r="M10" s="13">
        <v>46089.0</v>
      </c>
      <c r="N10" s="14">
        <f>930</f>
        <v>930</v>
      </c>
      <c r="O10" s="3"/>
      <c r="P10" s="15" t="s">
        <v>18</v>
      </c>
      <c r="Q10" s="15" t="s">
        <v>48</v>
      </c>
      <c r="S10" s="17" t="s">
        <v>15</v>
      </c>
      <c r="T10" s="8">
        <f>110+1791.79</f>
        <v>1901.79</v>
      </c>
      <c r="U10" s="8">
        <v>3000.0</v>
      </c>
      <c r="AA10" s="17" t="s">
        <v>15</v>
      </c>
      <c r="AB10" s="7">
        <f>I34</f>
        <v>24</v>
      </c>
      <c r="AC10" s="7">
        <f>AB10*X2</f>
        <v>1409.04</v>
      </c>
      <c r="AD10" s="7">
        <f t="shared" si="1"/>
        <v>1901.79</v>
      </c>
      <c r="AE10" s="7">
        <f>(AD10-AC10)+'February 2026'!AD11</f>
        <v>34.56</v>
      </c>
    </row>
    <row r="11">
      <c r="A11" s="12">
        <v>46090.0</v>
      </c>
      <c r="B11" s="8"/>
      <c r="C11" s="8">
        <v>1.0</v>
      </c>
      <c r="D11" s="8"/>
      <c r="E11" s="8"/>
      <c r="F11" s="8">
        <v>2.0</v>
      </c>
      <c r="G11" s="8">
        <v>3.0</v>
      </c>
      <c r="H11" s="8">
        <v>4.0</v>
      </c>
      <c r="I11" s="8">
        <v>3.0</v>
      </c>
      <c r="J11" s="8">
        <v>2.0</v>
      </c>
      <c r="K11" s="8">
        <v>2.0</v>
      </c>
      <c r="M11" s="13">
        <v>46090.0</v>
      </c>
      <c r="N11" s="14">
        <f>475+180</f>
        <v>655</v>
      </c>
      <c r="O11" s="3"/>
      <c r="P11" s="15" t="s">
        <v>49</v>
      </c>
      <c r="Q11" s="15" t="s">
        <v>53</v>
      </c>
      <c r="S11" s="17" t="s">
        <v>14</v>
      </c>
      <c r="T11" s="8">
        <f>1380</f>
        <v>1380</v>
      </c>
      <c r="U11" s="8">
        <v>3000.0</v>
      </c>
      <c r="AA11" s="17" t="s">
        <v>14</v>
      </c>
      <c r="AB11" s="7">
        <f>J34</f>
        <v>28</v>
      </c>
      <c r="AC11" s="7">
        <f>AB11*X2</f>
        <v>1643.88</v>
      </c>
      <c r="AD11" s="7">
        <f t="shared" si="1"/>
        <v>1380</v>
      </c>
      <c r="AE11" s="7">
        <f>(AD11-AC11)+'February 2026'!AD10</f>
        <v>1219.64</v>
      </c>
    </row>
    <row r="12">
      <c r="A12" s="12">
        <v>46091.0</v>
      </c>
      <c r="B12" s="8"/>
      <c r="C12" s="8">
        <v>1.0</v>
      </c>
      <c r="D12" s="8"/>
      <c r="E12" s="8"/>
      <c r="F12" s="8"/>
      <c r="G12" s="8">
        <v>3.0</v>
      </c>
      <c r="H12" s="8">
        <v>3.0</v>
      </c>
      <c r="I12" s="8">
        <v>3.0</v>
      </c>
      <c r="J12" s="8">
        <v>2.0</v>
      </c>
      <c r="K12" s="8"/>
      <c r="M12" s="13">
        <v>46091.0</v>
      </c>
      <c r="N12" s="14">
        <f>320+110</f>
        <v>430</v>
      </c>
      <c r="O12" s="3"/>
      <c r="P12" s="15" t="s">
        <v>67</v>
      </c>
      <c r="Q12" s="15" t="s">
        <v>45</v>
      </c>
      <c r="S12" s="17" t="s">
        <v>18</v>
      </c>
      <c r="T12" s="8">
        <f>930+180</f>
        <v>1110</v>
      </c>
      <c r="U12" s="8">
        <v>3000.0</v>
      </c>
      <c r="AA12" s="17" t="s">
        <v>18</v>
      </c>
      <c r="AB12" s="7">
        <f>K34</f>
        <v>17</v>
      </c>
      <c r="AC12" s="7">
        <f>AB12*X2</f>
        <v>998.07</v>
      </c>
      <c r="AD12" s="7">
        <f t="shared" si="1"/>
        <v>1110</v>
      </c>
      <c r="AE12" s="7">
        <f>(AD12-AC12)</f>
        <v>111.93</v>
      </c>
    </row>
    <row r="13">
      <c r="A13" s="12">
        <v>46092.0</v>
      </c>
      <c r="B13" s="8"/>
      <c r="C13" s="8">
        <v>1.0</v>
      </c>
      <c r="D13" s="8"/>
      <c r="E13" s="8"/>
      <c r="F13" s="8"/>
      <c r="G13" s="8">
        <v>3.0</v>
      </c>
      <c r="H13" s="8">
        <v>3.0</v>
      </c>
      <c r="I13" s="8">
        <v>2.0</v>
      </c>
      <c r="J13" s="8">
        <v>1.0</v>
      </c>
      <c r="K13" s="8"/>
      <c r="M13" s="13">
        <v>46092.0</v>
      </c>
      <c r="N13" s="14"/>
      <c r="O13" s="3"/>
      <c r="P13" s="16"/>
      <c r="Q13" s="16"/>
      <c r="S13" s="5" t="s">
        <v>46</v>
      </c>
      <c r="T13" s="7">
        <f t="shared" ref="T13:U13" si="2">SUM(T3:T12)</f>
        <v>10255</v>
      </c>
      <c r="U13" s="7">
        <f t="shared" si="2"/>
        <v>30000</v>
      </c>
      <c r="AA13" s="5" t="s">
        <v>46</v>
      </c>
      <c r="AB13" s="7">
        <f t="shared" ref="AB13:AD13" si="3">SUM(AB3:AB12)</f>
        <v>209</v>
      </c>
      <c r="AC13" s="7">
        <f t="shared" si="3"/>
        <v>12270.39</v>
      </c>
      <c r="AD13" s="7">
        <f t="shared" si="3"/>
        <v>10255</v>
      </c>
      <c r="AE13" s="7">
        <f>CEILING(AD13-AC13, 1)+'February 2026'!AD12</f>
        <v>0</v>
      </c>
    </row>
    <row r="14">
      <c r="A14" s="12">
        <v>46093.0</v>
      </c>
      <c r="B14" s="8">
        <v>2.0</v>
      </c>
      <c r="C14" s="8">
        <v>1.0</v>
      </c>
      <c r="D14" s="7"/>
      <c r="E14" s="8"/>
      <c r="F14" s="7"/>
      <c r="G14" s="8">
        <v>4.0</v>
      </c>
      <c r="H14" s="8"/>
      <c r="I14" s="8"/>
      <c r="J14" s="8">
        <v>1.0</v>
      </c>
      <c r="K14" s="8"/>
      <c r="M14" s="13">
        <v>46093.0</v>
      </c>
      <c r="N14" s="14"/>
      <c r="O14" s="3"/>
      <c r="P14" s="15"/>
      <c r="Q14" s="15"/>
    </row>
    <row r="15">
      <c r="A15" s="12">
        <v>46094.0</v>
      </c>
      <c r="B15" s="8">
        <v>2.0</v>
      </c>
      <c r="C15" s="8">
        <v>1.0</v>
      </c>
      <c r="D15" s="7"/>
      <c r="E15" s="8"/>
      <c r="F15" s="7"/>
      <c r="G15" s="8">
        <v>4.0</v>
      </c>
      <c r="H15" s="8"/>
      <c r="I15" s="8"/>
      <c r="J15" s="8">
        <v>1.0</v>
      </c>
      <c r="K15" s="8"/>
      <c r="M15" s="13">
        <v>46094.0</v>
      </c>
      <c r="N15" s="18">
        <f>200+190</f>
        <v>390</v>
      </c>
      <c r="O15" s="3"/>
      <c r="P15" s="15" t="s">
        <v>11</v>
      </c>
      <c r="Q15" s="15" t="s">
        <v>40</v>
      </c>
    </row>
    <row r="16">
      <c r="A16" s="12">
        <v>46095.0</v>
      </c>
      <c r="B16" s="8"/>
      <c r="C16" s="8">
        <v>1.0</v>
      </c>
      <c r="D16" s="7"/>
      <c r="E16" s="8"/>
      <c r="F16" s="8"/>
      <c r="G16" s="8">
        <v>4.0</v>
      </c>
      <c r="H16" s="7"/>
      <c r="I16" s="8"/>
      <c r="J16" s="8"/>
      <c r="K16" s="8"/>
      <c r="M16" s="13">
        <v>46095.0</v>
      </c>
      <c r="N16" s="18">
        <v>100.0</v>
      </c>
      <c r="O16" s="3"/>
      <c r="P16" s="15" t="s">
        <v>11</v>
      </c>
      <c r="Q16" s="15" t="s">
        <v>80</v>
      </c>
    </row>
    <row r="17">
      <c r="A17" s="12">
        <v>46096.0</v>
      </c>
      <c r="B17" s="8"/>
      <c r="C17" s="8">
        <v>1.0</v>
      </c>
      <c r="D17" s="7"/>
      <c r="E17" s="8"/>
      <c r="F17" s="8"/>
      <c r="G17" s="8">
        <v>4.0</v>
      </c>
      <c r="H17" s="7"/>
      <c r="I17" s="8"/>
      <c r="J17" s="8"/>
      <c r="K17" s="8"/>
      <c r="M17" s="13">
        <v>46096.0</v>
      </c>
      <c r="N17" s="14"/>
      <c r="O17" s="3"/>
      <c r="P17" s="15"/>
      <c r="Q17" s="15"/>
    </row>
    <row r="18">
      <c r="A18" s="12">
        <v>46097.0</v>
      </c>
      <c r="B18" s="8"/>
      <c r="C18" s="8">
        <v>1.0</v>
      </c>
      <c r="D18" s="7"/>
      <c r="E18" s="8"/>
      <c r="F18" s="8"/>
      <c r="G18" s="8">
        <v>4.0</v>
      </c>
      <c r="H18" s="7"/>
      <c r="I18" s="8"/>
      <c r="J18" s="8"/>
      <c r="K18" s="8"/>
      <c r="M18" s="13">
        <v>46097.0</v>
      </c>
      <c r="N18" s="14"/>
      <c r="O18" s="3"/>
      <c r="P18" s="15"/>
      <c r="Q18" s="15"/>
    </row>
    <row r="19">
      <c r="A19" s="12">
        <v>46098.0</v>
      </c>
      <c r="B19" s="8"/>
      <c r="C19" s="8"/>
      <c r="D19" s="7"/>
      <c r="E19" s="8"/>
      <c r="F19" s="8"/>
      <c r="G19" s="8"/>
      <c r="H19" s="7"/>
      <c r="I19" s="8"/>
      <c r="J19" s="7"/>
      <c r="K19" s="8"/>
      <c r="M19" s="13">
        <v>46098.0</v>
      </c>
      <c r="N19" s="14"/>
      <c r="O19" s="3"/>
      <c r="P19" s="15"/>
      <c r="Q19" s="15"/>
    </row>
    <row r="20">
      <c r="A20" s="12">
        <v>46099.0</v>
      </c>
      <c r="B20" s="8"/>
      <c r="C20" s="8"/>
      <c r="D20" s="8"/>
      <c r="E20" s="8"/>
      <c r="F20" s="8"/>
      <c r="G20" s="8"/>
      <c r="H20" s="8"/>
      <c r="I20" s="8"/>
      <c r="J20" s="7"/>
      <c r="K20" s="8"/>
      <c r="M20" s="13">
        <v>46099.0</v>
      </c>
      <c r="N20" s="14"/>
      <c r="O20" s="3"/>
      <c r="P20" s="15"/>
      <c r="Q20" s="15"/>
    </row>
    <row r="21">
      <c r="A21" s="12">
        <v>46100.0</v>
      </c>
      <c r="B21" s="8"/>
      <c r="C21" s="8"/>
      <c r="D21" s="7"/>
      <c r="E21" s="8"/>
      <c r="F21" s="8"/>
      <c r="G21" s="8"/>
      <c r="H21" s="8"/>
      <c r="I21" s="8"/>
      <c r="J21" s="7"/>
      <c r="K21" s="8"/>
      <c r="M21" s="13">
        <v>46100.0</v>
      </c>
      <c r="N21" s="14"/>
      <c r="O21" s="3"/>
      <c r="P21" s="15"/>
      <c r="Q21" s="15"/>
    </row>
    <row r="22">
      <c r="A22" s="12">
        <v>46101.0</v>
      </c>
      <c r="B22" s="8"/>
      <c r="C22" s="8"/>
      <c r="D22" s="7"/>
      <c r="E22" s="8"/>
      <c r="F22" s="8"/>
      <c r="G22" s="8"/>
      <c r="H22" s="8"/>
      <c r="I22" s="8"/>
      <c r="J22" s="7"/>
      <c r="K22" s="8"/>
      <c r="M22" s="13">
        <v>46101.0</v>
      </c>
      <c r="N22" s="14"/>
      <c r="O22" s="3"/>
      <c r="P22" s="15"/>
      <c r="Q22" s="15"/>
    </row>
    <row r="23">
      <c r="A23" s="12">
        <v>46102.0</v>
      </c>
      <c r="B23" s="8"/>
      <c r="C23" s="8"/>
      <c r="D23" s="7"/>
      <c r="E23" s="8"/>
      <c r="F23" s="8"/>
      <c r="G23" s="8"/>
      <c r="H23" s="8"/>
      <c r="I23" s="8"/>
      <c r="J23" s="7"/>
      <c r="K23" s="8"/>
      <c r="M23" s="13">
        <v>46102.0</v>
      </c>
      <c r="N23" s="14"/>
      <c r="O23" s="3"/>
      <c r="P23" s="15"/>
      <c r="Q23" s="15"/>
    </row>
    <row r="24">
      <c r="A24" s="12">
        <v>46103.0</v>
      </c>
      <c r="B24" s="8"/>
      <c r="C24" s="8"/>
      <c r="D24" s="7"/>
      <c r="E24" s="8"/>
      <c r="F24" s="8"/>
      <c r="G24" s="8"/>
      <c r="H24" s="8"/>
      <c r="I24" s="8"/>
      <c r="J24" s="7"/>
      <c r="K24" s="8"/>
      <c r="M24" s="13">
        <v>46103.0</v>
      </c>
      <c r="N24" s="14"/>
      <c r="O24" s="3"/>
      <c r="P24" s="15"/>
      <c r="Q24" s="15"/>
    </row>
    <row r="25">
      <c r="A25" s="12">
        <v>46104.0</v>
      </c>
      <c r="B25" s="8"/>
      <c r="C25" s="8"/>
      <c r="D25" s="8"/>
      <c r="E25" s="8"/>
      <c r="F25" s="8"/>
      <c r="G25" s="7"/>
      <c r="H25" s="8"/>
      <c r="I25" s="8"/>
      <c r="J25" s="7"/>
      <c r="K25" s="8"/>
      <c r="M25" s="13">
        <v>46104.0</v>
      </c>
      <c r="N25" s="14"/>
      <c r="O25" s="3"/>
      <c r="P25" s="15"/>
      <c r="Q25" s="15"/>
    </row>
    <row r="26">
      <c r="A26" s="12">
        <v>46105.0</v>
      </c>
      <c r="B26" s="7"/>
      <c r="C26" s="7"/>
      <c r="D26" s="8"/>
      <c r="E26" s="8"/>
      <c r="F26" s="8"/>
      <c r="G26" s="7"/>
      <c r="H26" s="8"/>
      <c r="I26" s="7"/>
      <c r="J26" s="7"/>
      <c r="K26" s="8"/>
      <c r="M26" s="13">
        <v>46105.0</v>
      </c>
      <c r="N26" s="14"/>
      <c r="O26" s="3"/>
      <c r="P26" s="16"/>
      <c r="Q26" s="16"/>
    </row>
    <row r="27">
      <c r="A27" s="12">
        <v>46106.0</v>
      </c>
      <c r="B27" s="7"/>
      <c r="C27" s="7"/>
      <c r="D27" s="8"/>
      <c r="E27" s="8"/>
      <c r="F27" s="8"/>
      <c r="G27" s="8"/>
      <c r="H27" s="8"/>
      <c r="I27" s="7"/>
      <c r="J27" s="7"/>
      <c r="K27" s="8"/>
      <c r="M27" s="13">
        <v>46106.0</v>
      </c>
      <c r="N27" s="14"/>
      <c r="O27" s="3"/>
      <c r="P27" s="16"/>
      <c r="Q27" s="16"/>
    </row>
    <row r="28">
      <c r="A28" s="12">
        <v>46107.0</v>
      </c>
      <c r="B28" s="8"/>
      <c r="C28" s="8"/>
      <c r="D28" s="8"/>
      <c r="E28" s="8"/>
      <c r="F28" s="8"/>
      <c r="G28" s="8"/>
      <c r="H28" s="8"/>
      <c r="I28" s="7"/>
      <c r="J28" s="7"/>
      <c r="K28" s="8"/>
      <c r="M28" s="13">
        <v>46107.0</v>
      </c>
      <c r="N28" s="14"/>
      <c r="O28" s="3"/>
      <c r="P28" s="15"/>
      <c r="Q28" s="15"/>
    </row>
    <row r="29">
      <c r="A29" s="12">
        <v>46108.0</v>
      </c>
      <c r="B29" s="8"/>
      <c r="C29" s="8"/>
      <c r="D29" s="7"/>
      <c r="E29" s="8"/>
      <c r="F29" s="8"/>
      <c r="G29" s="8"/>
      <c r="H29" s="8"/>
      <c r="I29" s="8"/>
      <c r="J29" s="7"/>
      <c r="K29" s="8"/>
      <c r="M29" s="13">
        <v>46108.0</v>
      </c>
      <c r="N29" s="18"/>
      <c r="O29" s="3"/>
      <c r="P29" s="15"/>
      <c r="Q29" s="16"/>
    </row>
    <row r="30">
      <c r="A30" s="12">
        <v>46109.0</v>
      </c>
      <c r="B30" s="8">
        <v>1.0</v>
      </c>
      <c r="C30" s="8">
        <v>1.0</v>
      </c>
      <c r="D30" s="7"/>
      <c r="E30" s="8">
        <v>1.0</v>
      </c>
      <c r="F30" s="8"/>
      <c r="G30" s="8"/>
      <c r="H30" s="8"/>
      <c r="I30" s="8">
        <v>1.0</v>
      </c>
      <c r="J30" s="7"/>
      <c r="K30" s="8"/>
      <c r="M30" s="13">
        <v>46109.0</v>
      </c>
      <c r="N30" s="14">
        <f>700+300+600</f>
        <v>1600</v>
      </c>
      <c r="O30" s="3"/>
      <c r="P30" s="15" t="s">
        <v>6</v>
      </c>
      <c r="Q30" s="15" t="s">
        <v>97</v>
      </c>
    </row>
    <row r="31">
      <c r="A31" s="12">
        <v>46110.0</v>
      </c>
      <c r="B31" s="8">
        <v>1.0</v>
      </c>
      <c r="C31" s="8">
        <v>1.0</v>
      </c>
      <c r="D31" s="8"/>
      <c r="E31" s="8"/>
      <c r="F31" s="8"/>
      <c r="G31" s="8">
        <v>1.0</v>
      </c>
      <c r="H31" s="8"/>
      <c r="I31" s="8">
        <v>1.0</v>
      </c>
      <c r="J31" s="8">
        <v>1.0</v>
      </c>
      <c r="K31" s="8"/>
      <c r="M31" s="13">
        <v>46110.0</v>
      </c>
      <c r="N31" s="18"/>
      <c r="O31" s="3"/>
      <c r="P31" s="15"/>
      <c r="Q31" s="15"/>
    </row>
    <row r="32">
      <c r="A32" s="12">
        <v>46111.0</v>
      </c>
      <c r="B32" s="8">
        <v>1.0</v>
      </c>
      <c r="C32" s="8">
        <v>1.0</v>
      </c>
      <c r="D32" s="8"/>
      <c r="E32" s="8"/>
      <c r="F32" s="7"/>
      <c r="G32" s="8">
        <v>1.0</v>
      </c>
      <c r="H32" s="8"/>
      <c r="I32" s="7"/>
      <c r="J32" s="8">
        <v>1.0</v>
      </c>
      <c r="K32" s="8"/>
      <c r="M32" s="13">
        <v>46111.0</v>
      </c>
      <c r="N32" s="14"/>
      <c r="O32" s="3"/>
      <c r="P32" s="15"/>
      <c r="Q32" s="15"/>
    </row>
    <row r="33">
      <c r="A33" s="12">
        <v>46112.0</v>
      </c>
      <c r="B33" s="8">
        <v>2.0</v>
      </c>
      <c r="C33" s="8">
        <v>2.0</v>
      </c>
      <c r="D33" s="8"/>
      <c r="E33" s="8">
        <v>1.0</v>
      </c>
      <c r="F33" s="7"/>
      <c r="G33" s="8">
        <v>1.0</v>
      </c>
      <c r="H33" s="8"/>
      <c r="I33" s="8"/>
      <c r="J33" s="8">
        <v>2.0</v>
      </c>
      <c r="K33" s="8"/>
      <c r="M33" s="13">
        <v>46112.0</v>
      </c>
      <c r="N33" s="14"/>
      <c r="O33" s="3"/>
      <c r="P33" s="15"/>
      <c r="Q33" s="15"/>
    </row>
    <row r="34">
      <c r="A34" s="5" t="s">
        <v>46</v>
      </c>
      <c r="B34" s="22">
        <f t="shared" ref="B34:K34" si="4">SUM(B2:B33)</f>
        <v>20</v>
      </c>
      <c r="C34" s="22">
        <f t="shared" si="4"/>
        <v>21</v>
      </c>
      <c r="D34" s="22">
        <f t="shared" si="4"/>
        <v>1</v>
      </c>
      <c r="E34" s="22">
        <f t="shared" si="4"/>
        <v>3</v>
      </c>
      <c r="F34" s="22">
        <f t="shared" si="4"/>
        <v>21</v>
      </c>
      <c r="G34" s="22">
        <f t="shared" si="4"/>
        <v>45</v>
      </c>
      <c r="H34" s="22">
        <f t="shared" si="4"/>
        <v>29</v>
      </c>
      <c r="I34" s="22">
        <f t="shared" si="4"/>
        <v>24</v>
      </c>
      <c r="J34" s="22">
        <f t="shared" si="4"/>
        <v>28</v>
      </c>
      <c r="K34" s="22">
        <f t="shared" si="4"/>
        <v>17</v>
      </c>
      <c r="M34" s="9" t="s">
        <v>46</v>
      </c>
      <c r="N34" s="23">
        <f>SUM(N3:N33)</f>
        <v>12270</v>
      </c>
      <c r="O34" s="3"/>
      <c r="P34" s="24" t="s">
        <v>90</v>
      </c>
      <c r="Q34" s="16"/>
    </row>
    <row r="35">
      <c r="A35" s="25">
        <f>SUM(B34:K34)</f>
        <v>209</v>
      </c>
    </row>
    <row r="37">
      <c r="M37" s="26" t="s">
        <v>91</v>
      </c>
      <c r="N37" s="27">
        <f>(T13-N34)+ 'February 2026'!M40</f>
        <v>0</v>
      </c>
      <c r="P37" s="28" t="s">
        <v>90</v>
      </c>
    </row>
  </sheetData>
  <mergeCells count="39">
    <mergeCell ref="A1:K1"/>
    <mergeCell ref="M1:Q1"/>
    <mergeCell ref="S1:U1"/>
    <mergeCell ref="W1:Y1"/>
    <mergeCell ref="AA1:AE1"/>
    <mergeCell ref="N2:O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32:O32"/>
    <mergeCell ref="N33:O33"/>
    <mergeCell ref="N34:O34"/>
    <mergeCell ref="N37:O37"/>
    <mergeCell ref="N25:O25"/>
    <mergeCell ref="N26:O26"/>
    <mergeCell ref="N27:O27"/>
    <mergeCell ref="N28:O28"/>
    <mergeCell ref="N29:O29"/>
    <mergeCell ref="N30:O30"/>
    <mergeCell ref="N31:O31"/>
  </mergeCells>
  <conditionalFormatting sqref="AE3:AE12">
    <cfRule type="cellIs" dxfId="0" priority="1" operator="greaterThan">
      <formula>0</formula>
    </cfRule>
  </conditionalFormatting>
  <conditionalFormatting sqref="AE3:AE12">
    <cfRule type="cellIs" dxfId="1" priority="2" operator="equal">
      <formula>0</formula>
    </cfRule>
  </conditionalFormatting>
  <conditionalFormatting sqref="AE3:AE12">
    <cfRule type="cellIs" dxfId="2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4.88"/>
    <col customWidth="1" min="17" max="17" width="34.0"/>
    <col customWidth="1" min="24" max="24" width="2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M1" s="4" t="s">
        <v>1</v>
      </c>
      <c r="N1" s="2"/>
      <c r="O1" s="2"/>
      <c r="P1" s="2"/>
      <c r="Q1" s="3"/>
      <c r="S1" s="1" t="s">
        <v>2</v>
      </c>
      <c r="T1" s="2"/>
      <c r="U1" s="3"/>
      <c r="W1" s="4" t="s">
        <v>3</v>
      </c>
      <c r="X1" s="2"/>
      <c r="Y1" s="3"/>
      <c r="AA1" s="1" t="s">
        <v>4</v>
      </c>
      <c r="AB1" s="2"/>
      <c r="AC1" s="2"/>
      <c r="AD1" s="2"/>
      <c r="AE1" s="3"/>
    </row>
    <row r="2">
      <c r="A2" s="5" t="s">
        <v>5</v>
      </c>
      <c r="B2" s="6" t="s">
        <v>6</v>
      </c>
      <c r="C2" s="6" t="s">
        <v>7</v>
      </c>
      <c r="D2" s="6" t="s">
        <v>13</v>
      </c>
      <c r="E2" s="6"/>
      <c r="F2" s="6" t="s">
        <v>10</v>
      </c>
      <c r="G2" s="6" t="s">
        <v>11</v>
      </c>
      <c r="H2" s="6" t="s">
        <v>12</v>
      </c>
      <c r="I2" s="6" t="s">
        <v>15</v>
      </c>
      <c r="J2" s="8" t="s">
        <v>14</v>
      </c>
      <c r="K2" s="8" t="s">
        <v>18</v>
      </c>
      <c r="M2" s="9" t="s">
        <v>5</v>
      </c>
      <c r="N2" s="10" t="s">
        <v>16</v>
      </c>
      <c r="O2" s="3"/>
      <c r="P2" s="9" t="s">
        <v>17</v>
      </c>
      <c r="Q2" s="9" t="s">
        <v>19</v>
      </c>
      <c r="S2" s="5" t="s">
        <v>20</v>
      </c>
      <c r="T2" s="5" t="s">
        <v>16</v>
      </c>
      <c r="U2" s="5" t="s">
        <v>21</v>
      </c>
      <c r="X2" s="11">
        <f>ROUND(N34/A35, 2)</f>
        <v>54.09</v>
      </c>
      <c r="AA2" s="5" t="s">
        <v>20</v>
      </c>
      <c r="AB2" s="5" t="s">
        <v>22</v>
      </c>
      <c r="AC2" s="5" t="s">
        <v>23</v>
      </c>
      <c r="AD2" s="5" t="s">
        <v>24</v>
      </c>
      <c r="AE2" s="5" t="s">
        <v>25</v>
      </c>
    </row>
    <row r="3">
      <c r="A3" s="12">
        <v>46113.0</v>
      </c>
      <c r="B3" s="8">
        <v>2.0</v>
      </c>
      <c r="C3" s="8">
        <v>2.0</v>
      </c>
      <c r="D3" s="7"/>
      <c r="E3" s="8"/>
      <c r="F3" s="8"/>
      <c r="G3" s="8">
        <v>1.0</v>
      </c>
      <c r="H3" s="8">
        <v>2.0</v>
      </c>
      <c r="I3" s="8"/>
      <c r="J3" s="8">
        <v>2.0</v>
      </c>
      <c r="K3" s="8"/>
      <c r="M3" s="13">
        <v>46113.0</v>
      </c>
      <c r="N3" s="14">
        <f>750</f>
        <v>750</v>
      </c>
      <c r="O3" s="3"/>
      <c r="P3" s="15" t="s">
        <v>14</v>
      </c>
      <c r="Q3" s="15" t="s">
        <v>27</v>
      </c>
      <c r="S3" s="17" t="s">
        <v>6</v>
      </c>
      <c r="T3" s="8">
        <f>2990+1000+180+275+1440+1500</f>
        <v>7385</v>
      </c>
      <c r="U3" s="8">
        <v>3000.0</v>
      </c>
      <c r="AA3" s="17" t="s">
        <v>6</v>
      </c>
      <c r="AB3" s="7">
        <f>B34</f>
        <v>53</v>
      </c>
      <c r="AC3" s="7">
        <f>AB3*X2</f>
        <v>2866.77</v>
      </c>
      <c r="AD3" s="7">
        <f t="shared" ref="AD3:AD12" si="1">T3</f>
        <v>7385</v>
      </c>
      <c r="AE3" s="7">
        <f>(AD3-AC3)+'March 2026'!AE3</f>
        <v>6305.36</v>
      </c>
    </row>
    <row r="4">
      <c r="A4" s="12">
        <v>46114.0</v>
      </c>
      <c r="B4" s="8">
        <v>2.0</v>
      </c>
      <c r="C4" s="8">
        <v>2.0</v>
      </c>
      <c r="D4" s="7"/>
      <c r="E4" s="8"/>
      <c r="F4" s="8"/>
      <c r="G4" s="8">
        <v>1.0</v>
      </c>
      <c r="H4" s="8">
        <v>2.0</v>
      </c>
      <c r="I4" s="8"/>
      <c r="J4" s="8">
        <v>2.0</v>
      </c>
      <c r="K4" s="8"/>
      <c r="M4" s="13">
        <v>46114.0</v>
      </c>
      <c r="N4" s="14"/>
      <c r="O4" s="3"/>
      <c r="P4" s="15"/>
      <c r="Q4" s="15"/>
      <c r="S4" s="17" t="s">
        <v>7</v>
      </c>
      <c r="T4" s="8"/>
      <c r="U4" s="8">
        <v>3000.0</v>
      </c>
      <c r="AA4" s="17" t="s">
        <v>7</v>
      </c>
      <c r="AB4" s="7">
        <f>C34</f>
        <v>52</v>
      </c>
      <c r="AC4" s="7">
        <f>AB4*X2</f>
        <v>2812.68</v>
      </c>
      <c r="AD4" s="7" t="str">
        <f t="shared" si="1"/>
        <v/>
      </c>
      <c r="AE4" s="7">
        <f>(AD4-AC4)+'March 2026'!AE4</f>
        <v>-2641.76</v>
      </c>
    </row>
    <row r="5">
      <c r="A5" s="12">
        <v>46115.0</v>
      </c>
      <c r="B5" s="8"/>
      <c r="C5" s="8"/>
      <c r="D5" s="7"/>
      <c r="E5" s="8"/>
      <c r="F5" s="8"/>
      <c r="G5" s="8"/>
      <c r="H5" s="8"/>
      <c r="I5" s="8"/>
      <c r="J5" s="8">
        <v>2.0</v>
      </c>
      <c r="K5" s="8"/>
      <c r="M5" s="13">
        <v>46115.0</v>
      </c>
      <c r="N5" s="14"/>
      <c r="O5" s="3"/>
      <c r="P5" s="15"/>
      <c r="Q5" s="15"/>
      <c r="S5" s="17" t="s">
        <v>13</v>
      </c>
      <c r="T5" s="8"/>
      <c r="U5" s="8">
        <v>3000.0</v>
      </c>
      <c r="AA5" s="17" t="s">
        <v>13</v>
      </c>
      <c r="AB5" s="7">
        <f>D34</f>
        <v>18</v>
      </c>
      <c r="AC5" s="7">
        <f>AB5*X2</f>
        <v>973.62</v>
      </c>
      <c r="AD5" s="7" t="str">
        <f t="shared" si="1"/>
        <v/>
      </c>
      <c r="AE5" s="7">
        <f t="shared" ref="AE5:AE6" si="2">(AD5-AC5)</f>
        <v>-973.62</v>
      </c>
    </row>
    <row r="6">
      <c r="A6" s="12">
        <v>46116.0</v>
      </c>
      <c r="B6" s="8"/>
      <c r="C6" s="8"/>
      <c r="D6" s="8"/>
      <c r="E6" s="7"/>
      <c r="F6" s="8"/>
      <c r="G6" s="8"/>
      <c r="H6" s="8"/>
      <c r="I6" s="8"/>
      <c r="J6" s="8">
        <v>2.0</v>
      </c>
      <c r="K6" s="8"/>
      <c r="M6" s="13">
        <v>46116.0</v>
      </c>
      <c r="N6" s="14"/>
      <c r="O6" s="3"/>
      <c r="P6" s="15"/>
      <c r="Q6" s="15"/>
      <c r="S6" s="17"/>
      <c r="T6" s="8"/>
      <c r="U6" s="8">
        <v>3000.0</v>
      </c>
      <c r="AA6" s="17"/>
      <c r="AB6" s="7">
        <f>E34</f>
        <v>0</v>
      </c>
      <c r="AC6" s="7">
        <f>AB6*X2</f>
        <v>0</v>
      </c>
      <c r="AD6" s="7" t="str">
        <f t="shared" si="1"/>
        <v/>
      </c>
      <c r="AE6" s="7">
        <f t="shared" si="2"/>
        <v>0</v>
      </c>
    </row>
    <row r="7">
      <c r="A7" s="12">
        <v>46117.0</v>
      </c>
      <c r="B7" s="8"/>
      <c r="C7" s="8"/>
      <c r="D7" s="8"/>
      <c r="E7" s="8"/>
      <c r="F7" s="8"/>
      <c r="G7" s="8"/>
      <c r="H7" s="8"/>
      <c r="I7" s="8"/>
      <c r="J7" s="8">
        <v>2.0</v>
      </c>
      <c r="K7" s="8"/>
      <c r="M7" s="13">
        <v>46117.0</v>
      </c>
      <c r="N7" s="14"/>
      <c r="O7" s="3"/>
      <c r="P7" s="15"/>
      <c r="Q7" s="15"/>
      <c r="S7" s="17" t="s">
        <v>10</v>
      </c>
      <c r="T7" s="8">
        <f>476+500</f>
        <v>976</v>
      </c>
      <c r="U7" s="8">
        <v>3000.0</v>
      </c>
      <c r="AA7" s="17" t="s">
        <v>10</v>
      </c>
      <c r="AB7" s="7">
        <f>F34</f>
        <v>9</v>
      </c>
      <c r="AC7" s="7">
        <f>AB7*X2</f>
        <v>486.81</v>
      </c>
      <c r="AD7" s="7">
        <f t="shared" si="1"/>
        <v>976</v>
      </c>
      <c r="AE7" s="7">
        <f>(AD7-AC7)+'March 2026'!AE7</f>
        <v>201.04</v>
      </c>
    </row>
    <row r="8">
      <c r="A8" s="12">
        <v>46118.0</v>
      </c>
      <c r="B8" s="8"/>
      <c r="C8" s="8"/>
      <c r="D8" s="8"/>
      <c r="E8" s="8"/>
      <c r="F8" s="8"/>
      <c r="G8" s="8">
        <v>2.0</v>
      </c>
      <c r="H8" s="8">
        <v>2.0</v>
      </c>
      <c r="I8" s="8"/>
      <c r="J8" s="8">
        <v>2.0</v>
      </c>
      <c r="K8" s="8">
        <v>2.0</v>
      </c>
      <c r="M8" s="13">
        <v>46118.0</v>
      </c>
      <c r="N8" s="14"/>
      <c r="O8" s="3"/>
      <c r="P8" s="15"/>
      <c r="Q8" s="15"/>
      <c r="S8" s="17" t="s">
        <v>11</v>
      </c>
      <c r="T8" s="8">
        <f>1700+1142</f>
        <v>2842</v>
      </c>
      <c r="U8" s="8">
        <v>3000.0</v>
      </c>
      <c r="AA8" s="17" t="s">
        <v>11</v>
      </c>
      <c r="AB8" s="7">
        <f>G34</f>
        <v>37</v>
      </c>
      <c r="AC8" s="7">
        <f>AB8*X2</f>
        <v>2001.33</v>
      </c>
      <c r="AD8" s="7">
        <f t="shared" si="1"/>
        <v>2842</v>
      </c>
      <c r="AE8" s="7">
        <f>(AD8-AC8)+'March 2026'!AE8</f>
        <v>-435.63</v>
      </c>
    </row>
    <row r="9">
      <c r="A9" s="12">
        <v>46119.0</v>
      </c>
      <c r="B9" s="8"/>
      <c r="C9" s="8">
        <v>2.0</v>
      </c>
      <c r="D9" s="8"/>
      <c r="E9" s="8"/>
      <c r="F9" s="8"/>
      <c r="G9" s="8">
        <v>2.0</v>
      </c>
      <c r="H9" s="8">
        <v>2.0</v>
      </c>
      <c r="I9" s="8"/>
      <c r="J9" s="8">
        <v>1.0</v>
      </c>
      <c r="K9" s="8">
        <v>2.0</v>
      </c>
      <c r="M9" s="13">
        <v>46119.0</v>
      </c>
      <c r="N9" s="18">
        <f>1965</f>
        <v>1965</v>
      </c>
      <c r="O9" s="3"/>
      <c r="P9" s="15" t="s">
        <v>14</v>
      </c>
      <c r="Q9" s="15" t="s">
        <v>42</v>
      </c>
      <c r="S9" s="17" t="s">
        <v>12</v>
      </c>
      <c r="T9" s="8">
        <f>160+500</f>
        <v>660</v>
      </c>
      <c r="U9" s="8">
        <v>3000.0</v>
      </c>
      <c r="AA9" s="17" t="s">
        <v>12</v>
      </c>
      <c r="AB9" s="7">
        <f>H34</f>
        <v>56</v>
      </c>
      <c r="AC9" s="7">
        <f>AB9*X2</f>
        <v>3029.04</v>
      </c>
      <c r="AD9" s="7">
        <f t="shared" si="1"/>
        <v>660</v>
      </c>
      <c r="AE9" s="7">
        <f>(AD9-AC9)+'March 2026'!AE9</f>
        <v>-4213.27</v>
      </c>
    </row>
    <row r="10">
      <c r="A10" s="12">
        <v>46120.0</v>
      </c>
      <c r="B10" s="8">
        <v>2.0</v>
      </c>
      <c r="C10" s="8">
        <v>2.0</v>
      </c>
      <c r="D10" s="8">
        <v>1.0</v>
      </c>
      <c r="E10" s="8"/>
      <c r="F10" s="8"/>
      <c r="G10" s="8">
        <v>1.0</v>
      </c>
      <c r="H10" s="8">
        <v>2.0</v>
      </c>
      <c r="I10" s="8"/>
      <c r="J10" s="8">
        <v>2.0</v>
      </c>
      <c r="K10" s="8">
        <v>2.0</v>
      </c>
      <c r="M10" s="13">
        <v>46120.0</v>
      </c>
      <c r="N10" s="14"/>
      <c r="O10" s="3"/>
      <c r="P10" s="15"/>
      <c r="Q10" s="15"/>
      <c r="S10" s="17" t="s">
        <v>15</v>
      </c>
      <c r="T10" s="8"/>
      <c r="U10" s="8">
        <v>3000.0</v>
      </c>
      <c r="AA10" s="17"/>
      <c r="AB10" s="7">
        <f>I34</f>
        <v>0</v>
      </c>
      <c r="AC10" s="7">
        <f>AB10*X2</f>
        <v>0</v>
      </c>
      <c r="AD10" s="7" t="str">
        <f t="shared" si="1"/>
        <v/>
      </c>
      <c r="AE10" s="7">
        <f>(AD10-AC10)</f>
        <v>0</v>
      </c>
    </row>
    <row r="11">
      <c r="A11" s="12">
        <v>46121.0</v>
      </c>
      <c r="B11" s="8">
        <v>2.0</v>
      </c>
      <c r="C11" s="8">
        <v>2.0</v>
      </c>
      <c r="D11" s="8">
        <v>1.0</v>
      </c>
      <c r="E11" s="8"/>
      <c r="F11" s="8"/>
      <c r="G11" s="8">
        <v>1.0</v>
      </c>
      <c r="H11" s="8">
        <v>2.0</v>
      </c>
      <c r="I11" s="8"/>
      <c r="J11" s="8">
        <v>2.0</v>
      </c>
      <c r="K11" s="8">
        <v>2.0</v>
      </c>
      <c r="M11" s="13">
        <v>46121.0</v>
      </c>
      <c r="N11" s="14">
        <f>2990</f>
        <v>2990</v>
      </c>
      <c r="O11" s="3"/>
      <c r="P11" s="15" t="s">
        <v>6</v>
      </c>
      <c r="Q11" s="15" t="s">
        <v>47</v>
      </c>
      <c r="S11" s="17" t="s">
        <v>14</v>
      </c>
      <c r="T11" s="8">
        <f>750+1965+290+235</f>
        <v>3240</v>
      </c>
      <c r="U11" s="8">
        <v>3000.0</v>
      </c>
      <c r="AA11" s="17" t="s">
        <v>14</v>
      </c>
      <c r="AB11" s="7">
        <f>J34</f>
        <v>41</v>
      </c>
      <c r="AC11" s="7">
        <f>AB11*X2</f>
        <v>2217.69</v>
      </c>
      <c r="AD11" s="7">
        <f t="shared" si="1"/>
        <v>3240</v>
      </c>
      <c r="AE11" s="7">
        <f>(AD11-AC11)+'March 2026'!AE11</f>
        <v>2241.95</v>
      </c>
    </row>
    <row r="12">
      <c r="A12" s="12">
        <v>46122.0</v>
      </c>
      <c r="B12" s="8">
        <v>2.0</v>
      </c>
      <c r="C12" s="8">
        <v>2.0</v>
      </c>
      <c r="D12" s="8">
        <v>1.0</v>
      </c>
      <c r="E12" s="8"/>
      <c r="F12" s="8"/>
      <c r="G12" s="8">
        <v>1.0</v>
      </c>
      <c r="H12" s="8">
        <v>2.0</v>
      </c>
      <c r="I12" s="8"/>
      <c r="J12" s="8">
        <v>3.0</v>
      </c>
      <c r="K12" s="8">
        <v>2.0</v>
      </c>
      <c r="M12" s="13">
        <v>46122.0</v>
      </c>
      <c r="N12" s="14"/>
      <c r="O12" s="3"/>
      <c r="P12" s="15"/>
      <c r="Q12" s="15"/>
      <c r="S12" s="17" t="s">
        <v>18</v>
      </c>
      <c r="T12" s="8">
        <f>925+610+360</f>
        <v>1895</v>
      </c>
      <c r="U12" s="8">
        <v>3000.0</v>
      </c>
      <c r="AA12" s="17" t="s">
        <v>18</v>
      </c>
      <c r="AB12" s="7">
        <f>K34</f>
        <v>39</v>
      </c>
      <c r="AC12" s="7">
        <f>AB12*X2</f>
        <v>2109.51</v>
      </c>
      <c r="AD12" s="7">
        <f t="shared" si="1"/>
        <v>1895</v>
      </c>
      <c r="AE12" s="7">
        <f>(AD12-AC12)+'March 2026'!AE12</f>
        <v>-102.58</v>
      </c>
    </row>
    <row r="13">
      <c r="A13" s="12">
        <v>46123.0</v>
      </c>
      <c r="B13" s="8">
        <v>2.0</v>
      </c>
      <c r="C13" s="8">
        <v>2.0</v>
      </c>
      <c r="D13" s="8">
        <v>1.0</v>
      </c>
      <c r="E13" s="8"/>
      <c r="F13" s="8"/>
      <c r="G13" s="8"/>
      <c r="H13" s="8">
        <v>2.0</v>
      </c>
      <c r="I13" s="8"/>
      <c r="J13" s="8">
        <v>1.0</v>
      </c>
      <c r="K13" s="8">
        <v>2.0</v>
      </c>
      <c r="M13" s="13">
        <v>46123.0</v>
      </c>
      <c r="N13" s="14">
        <f>1000</f>
        <v>1000</v>
      </c>
      <c r="O13" s="3"/>
      <c r="P13" s="15" t="s">
        <v>6</v>
      </c>
      <c r="Q13" s="15" t="s">
        <v>51</v>
      </c>
      <c r="S13" s="5" t="s">
        <v>46</v>
      </c>
      <c r="T13" s="7">
        <f t="shared" ref="T13:U13" si="3">SUM(T3:T12)</f>
        <v>16998</v>
      </c>
      <c r="U13" s="7">
        <f t="shared" si="3"/>
        <v>30000</v>
      </c>
      <c r="AA13" s="5" t="s">
        <v>46</v>
      </c>
      <c r="AB13" s="7">
        <f t="shared" ref="AB13:AD13" si="4">SUM(AB3:AB12)</f>
        <v>305</v>
      </c>
      <c r="AC13" s="7">
        <f t="shared" si="4"/>
        <v>16497.45</v>
      </c>
      <c r="AD13" s="7">
        <f t="shared" si="4"/>
        <v>16998</v>
      </c>
      <c r="AE13" s="7">
        <f>CEILING(AD13-AC13, 1)+'March 2026'!AE13</f>
        <v>501</v>
      </c>
    </row>
    <row r="14">
      <c r="A14" s="12">
        <v>46124.0</v>
      </c>
      <c r="B14" s="8">
        <v>2.0</v>
      </c>
      <c r="C14" s="8">
        <v>2.0</v>
      </c>
      <c r="D14" s="8">
        <v>1.0</v>
      </c>
      <c r="E14" s="8"/>
      <c r="F14" s="7"/>
      <c r="G14" s="8">
        <v>2.0</v>
      </c>
      <c r="H14" s="8">
        <v>4.0</v>
      </c>
      <c r="I14" s="8"/>
      <c r="J14" s="8">
        <v>1.0</v>
      </c>
      <c r="K14" s="8">
        <v>2.0</v>
      </c>
      <c r="M14" s="13">
        <v>46124.0</v>
      </c>
      <c r="N14" s="18">
        <v>353.0</v>
      </c>
      <c r="O14" s="3"/>
      <c r="P14" s="15" t="s">
        <v>6</v>
      </c>
      <c r="Q14" s="15" t="s">
        <v>39</v>
      </c>
    </row>
    <row r="15">
      <c r="A15" s="12">
        <v>46125.0</v>
      </c>
      <c r="B15" s="8">
        <v>3.0</v>
      </c>
      <c r="C15" s="8">
        <v>2.0</v>
      </c>
      <c r="D15" s="8">
        <v>1.0</v>
      </c>
      <c r="E15" s="8"/>
      <c r="F15" s="7"/>
      <c r="G15" s="8">
        <v>3.0</v>
      </c>
      <c r="H15" s="8">
        <v>2.0</v>
      </c>
      <c r="I15" s="8"/>
      <c r="J15" s="8">
        <v>1.0</v>
      </c>
      <c r="K15" s="8">
        <v>2.0</v>
      </c>
      <c r="M15" s="13">
        <v>46125.0</v>
      </c>
      <c r="N15" s="18">
        <v>180.0</v>
      </c>
      <c r="O15" s="3"/>
      <c r="P15" s="15" t="s">
        <v>6</v>
      </c>
      <c r="Q15" s="15" t="s">
        <v>59</v>
      </c>
    </row>
    <row r="16">
      <c r="A16" s="12">
        <v>46126.0</v>
      </c>
      <c r="B16" s="8">
        <v>4.0</v>
      </c>
      <c r="C16" s="8">
        <v>2.0</v>
      </c>
      <c r="D16" s="8">
        <v>1.0</v>
      </c>
      <c r="E16" s="8"/>
      <c r="F16" s="8"/>
      <c r="G16" s="8">
        <v>2.0</v>
      </c>
      <c r="H16" s="8">
        <v>3.0</v>
      </c>
      <c r="I16" s="8"/>
      <c r="J16" s="8">
        <v>2.0</v>
      </c>
      <c r="K16" s="8">
        <v>3.0</v>
      </c>
      <c r="M16" s="13">
        <v>46126.0</v>
      </c>
      <c r="N16" s="18">
        <f> 780 + 925</f>
        <v>1705</v>
      </c>
      <c r="O16" s="3"/>
      <c r="P16" s="15" t="s">
        <v>63</v>
      </c>
      <c r="Q16" s="15" t="s">
        <v>64</v>
      </c>
    </row>
    <row r="17">
      <c r="A17" s="12">
        <v>46127.0</v>
      </c>
      <c r="B17" s="8">
        <v>3.0</v>
      </c>
      <c r="C17" s="8">
        <v>2.0</v>
      </c>
      <c r="D17" s="8">
        <v>1.0</v>
      </c>
      <c r="E17" s="8"/>
      <c r="F17" s="8"/>
      <c r="G17" s="8">
        <v>2.0</v>
      </c>
      <c r="H17" s="8">
        <v>2.0</v>
      </c>
      <c r="I17" s="8"/>
      <c r="J17" s="8">
        <v>1.0</v>
      </c>
      <c r="K17" s="8">
        <v>2.0</v>
      </c>
      <c r="M17" s="13">
        <v>46127.0</v>
      </c>
      <c r="N17" s="14"/>
      <c r="O17" s="3"/>
      <c r="P17" s="15"/>
      <c r="Q17" s="15"/>
    </row>
    <row r="18">
      <c r="A18" s="12">
        <v>46128.0</v>
      </c>
      <c r="B18" s="8">
        <v>2.0</v>
      </c>
      <c r="C18" s="8">
        <v>2.0</v>
      </c>
      <c r="D18" s="8"/>
      <c r="E18" s="8"/>
      <c r="F18" s="8"/>
      <c r="G18" s="8">
        <v>2.0</v>
      </c>
      <c r="H18" s="8">
        <v>3.0</v>
      </c>
      <c r="I18" s="8"/>
      <c r="J18" s="8">
        <v>1.0</v>
      </c>
      <c r="K18" s="8">
        <v>2.0</v>
      </c>
      <c r="M18" s="13">
        <v>46128.0</v>
      </c>
      <c r="N18" s="14">
        <f>190</f>
        <v>190</v>
      </c>
      <c r="O18" s="3"/>
      <c r="P18" s="15" t="s">
        <v>6</v>
      </c>
      <c r="Q18" s="15" t="s">
        <v>59</v>
      </c>
    </row>
    <row r="19">
      <c r="A19" s="12">
        <v>46129.0</v>
      </c>
      <c r="B19" s="8">
        <v>2.0</v>
      </c>
      <c r="C19" s="8">
        <v>2.0</v>
      </c>
      <c r="D19" s="7"/>
      <c r="E19" s="8"/>
      <c r="F19" s="8"/>
      <c r="G19" s="8">
        <v>2.0</v>
      </c>
      <c r="H19" s="8">
        <v>2.0</v>
      </c>
      <c r="I19" s="8"/>
      <c r="J19" s="8">
        <v>1.0</v>
      </c>
      <c r="K19" s="8">
        <v>2.0</v>
      </c>
      <c r="M19" s="13">
        <v>46129.0</v>
      </c>
      <c r="N19" s="14"/>
      <c r="O19" s="3"/>
      <c r="P19" s="15"/>
      <c r="Q19" s="15"/>
    </row>
    <row r="20">
      <c r="A20" s="12">
        <v>46130.0</v>
      </c>
      <c r="B20" s="8">
        <v>2.0</v>
      </c>
      <c r="C20" s="8">
        <v>2.0</v>
      </c>
      <c r="D20" s="8"/>
      <c r="E20" s="8"/>
      <c r="F20" s="8"/>
      <c r="G20" s="8">
        <v>2.0</v>
      </c>
      <c r="H20" s="8">
        <v>2.0</v>
      </c>
      <c r="I20" s="8"/>
      <c r="J20" s="8">
        <v>1.0</v>
      </c>
      <c r="K20" s="8">
        <v>2.0</v>
      </c>
      <c r="M20" s="13">
        <v>46130.0</v>
      </c>
      <c r="N20" s="14">
        <f>610+290+160+1590</f>
        <v>2650</v>
      </c>
      <c r="O20" s="3"/>
      <c r="P20" s="15" t="s">
        <v>70</v>
      </c>
      <c r="Q20" s="15" t="s">
        <v>72</v>
      </c>
    </row>
    <row r="21">
      <c r="A21" s="12">
        <v>46131.0</v>
      </c>
      <c r="B21" s="8">
        <v>2.0</v>
      </c>
      <c r="C21" s="8">
        <v>2.0</v>
      </c>
      <c r="D21" s="7"/>
      <c r="E21" s="8"/>
      <c r="F21" s="8"/>
      <c r="G21" s="8">
        <v>1.0</v>
      </c>
      <c r="H21" s="8">
        <v>2.0</v>
      </c>
      <c r="I21" s="8"/>
      <c r="J21" s="8">
        <v>1.0</v>
      </c>
      <c r="K21" s="8">
        <v>2.0</v>
      </c>
      <c r="M21" s="13">
        <v>46131.0</v>
      </c>
      <c r="N21" s="14"/>
      <c r="O21" s="3"/>
      <c r="P21" s="15"/>
      <c r="Q21" s="15"/>
    </row>
    <row r="22">
      <c r="A22" s="12">
        <v>46132.0</v>
      </c>
      <c r="B22" s="8">
        <v>2.0</v>
      </c>
      <c r="C22" s="8">
        <v>2.0</v>
      </c>
      <c r="D22" s="7"/>
      <c r="E22" s="8"/>
      <c r="F22" s="8"/>
      <c r="G22" s="8">
        <v>1.0</v>
      </c>
      <c r="H22" s="8">
        <v>2.0</v>
      </c>
      <c r="I22" s="8"/>
      <c r="J22" s="8">
        <v>1.0</v>
      </c>
      <c r="K22" s="8">
        <v>2.0</v>
      </c>
      <c r="M22" s="13">
        <v>46132.0</v>
      </c>
      <c r="N22" s="14">
        <f>180</f>
        <v>180</v>
      </c>
      <c r="O22" s="3"/>
      <c r="P22" s="15" t="s">
        <v>6</v>
      </c>
      <c r="Q22" s="15" t="s">
        <v>59</v>
      </c>
    </row>
    <row r="23">
      <c r="A23" s="12">
        <v>46133.0</v>
      </c>
      <c r="B23" s="8">
        <v>2.0</v>
      </c>
      <c r="C23" s="8">
        <v>2.0</v>
      </c>
      <c r="D23" s="8">
        <v>1.0</v>
      </c>
      <c r="E23" s="8"/>
      <c r="F23" s="8"/>
      <c r="G23" s="8">
        <v>1.0</v>
      </c>
      <c r="H23" s="8">
        <v>2.0</v>
      </c>
      <c r="I23" s="8"/>
      <c r="J23" s="8">
        <v>1.0</v>
      </c>
      <c r="K23" s="8"/>
      <c r="M23" s="13">
        <v>46133.0</v>
      </c>
      <c r="N23" s="14">
        <f>1500</f>
        <v>1500</v>
      </c>
      <c r="O23" s="3"/>
      <c r="P23" s="15" t="s">
        <v>12</v>
      </c>
      <c r="Q23" s="15" t="s">
        <v>65</v>
      </c>
    </row>
    <row r="24">
      <c r="A24" s="12">
        <v>46134.0</v>
      </c>
      <c r="B24" s="8">
        <v>2.0</v>
      </c>
      <c r="C24" s="8">
        <v>2.0</v>
      </c>
      <c r="D24" s="8">
        <v>1.0</v>
      </c>
      <c r="E24" s="8"/>
      <c r="F24" s="8"/>
      <c r="G24" s="8">
        <v>1.0</v>
      </c>
      <c r="H24" s="8">
        <v>2.0</v>
      </c>
      <c r="I24" s="8"/>
      <c r="J24" s="8">
        <v>1.0</v>
      </c>
      <c r="K24" s="8"/>
      <c r="M24" s="13">
        <v>46134.0</v>
      </c>
      <c r="N24" s="14"/>
      <c r="O24" s="3"/>
      <c r="P24" s="15"/>
      <c r="Q24" s="15"/>
    </row>
    <row r="25">
      <c r="A25" s="12">
        <v>46135.0</v>
      </c>
      <c r="B25" s="8">
        <v>2.0</v>
      </c>
      <c r="C25" s="8">
        <v>2.0</v>
      </c>
      <c r="D25" s="8">
        <v>1.0</v>
      </c>
      <c r="E25" s="8"/>
      <c r="F25" s="8"/>
      <c r="G25" s="8">
        <v>1.0</v>
      </c>
      <c r="H25" s="8">
        <v>2.0</v>
      </c>
      <c r="I25" s="8"/>
      <c r="J25" s="8">
        <v>1.0</v>
      </c>
      <c r="K25" s="8"/>
      <c r="M25" s="13">
        <v>46135.0</v>
      </c>
      <c r="N25" s="14"/>
      <c r="O25" s="3"/>
      <c r="P25" s="15"/>
      <c r="Q25" s="15"/>
    </row>
    <row r="26">
      <c r="A26" s="12">
        <v>46136.0</v>
      </c>
      <c r="B26" s="8">
        <v>2.0</v>
      </c>
      <c r="C26" s="8">
        <v>2.0</v>
      </c>
      <c r="D26" s="8">
        <v>1.0</v>
      </c>
      <c r="E26" s="8"/>
      <c r="F26" s="8">
        <v>3.0</v>
      </c>
      <c r="G26" s="8">
        <v>2.0</v>
      </c>
      <c r="H26" s="8">
        <v>1.0</v>
      </c>
      <c r="I26" s="7"/>
      <c r="J26" s="8">
        <v>1.0</v>
      </c>
      <c r="K26" s="8"/>
      <c r="M26" s="13">
        <v>46136.0</v>
      </c>
      <c r="N26" s="14">
        <f>1440</f>
        <v>1440</v>
      </c>
      <c r="O26" s="3"/>
      <c r="P26" s="15" t="s">
        <v>6</v>
      </c>
      <c r="Q26" s="15" t="s">
        <v>85</v>
      </c>
    </row>
    <row r="27">
      <c r="A27" s="12">
        <v>46137.0</v>
      </c>
      <c r="B27" s="8">
        <v>1.0</v>
      </c>
      <c r="C27" s="8">
        <v>2.0</v>
      </c>
      <c r="D27" s="8">
        <v>1.0</v>
      </c>
      <c r="E27" s="8"/>
      <c r="F27" s="8">
        <v>1.0</v>
      </c>
      <c r="G27" s="8">
        <v>2.0</v>
      </c>
      <c r="H27" s="8">
        <v>1.0</v>
      </c>
      <c r="I27" s="7"/>
      <c r="J27" s="8">
        <v>1.0</v>
      </c>
      <c r="K27" s="8"/>
      <c r="M27" s="13">
        <v>46137.0</v>
      </c>
      <c r="N27" s="14"/>
      <c r="O27" s="3"/>
      <c r="P27" s="16"/>
      <c r="Q27" s="16"/>
    </row>
    <row r="28">
      <c r="A28" s="12">
        <v>46138.0</v>
      </c>
      <c r="B28" s="8">
        <v>2.0</v>
      </c>
      <c r="C28" s="8">
        <v>2.0</v>
      </c>
      <c r="D28" s="8">
        <v>1.0</v>
      </c>
      <c r="E28" s="8"/>
      <c r="F28" s="8">
        <v>1.0</v>
      </c>
      <c r="G28" s="8">
        <v>0.0</v>
      </c>
      <c r="H28" s="8">
        <v>2.0</v>
      </c>
      <c r="I28" s="7"/>
      <c r="J28" s="8">
        <v>1.0</v>
      </c>
      <c r="K28" s="8"/>
      <c r="M28" s="13">
        <v>46138.0</v>
      </c>
      <c r="N28" s="14"/>
      <c r="O28" s="3"/>
      <c r="P28" s="15"/>
      <c r="Q28" s="15"/>
    </row>
    <row r="29">
      <c r="A29" s="12">
        <v>46139.0</v>
      </c>
      <c r="B29" s="8">
        <v>2.0</v>
      </c>
      <c r="C29" s="8">
        <v>2.0</v>
      </c>
      <c r="D29" s="8">
        <v>1.0</v>
      </c>
      <c r="E29" s="8"/>
      <c r="F29" s="8">
        <v>1.0</v>
      </c>
      <c r="G29" s="8">
        <v>1.0</v>
      </c>
      <c r="H29" s="8">
        <v>2.0</v>
      </c>
      <c r="I29" s="8"/>
      <c r="J29" s="8">
        <v>1.0</v>
      </c>
      <c r="K29" s="8">
        <v>2.0</v>
      </c>
      <c r="M29" s="13">
        <v>46139.0</v>
      </c>
      <c r="N29" s="18"/>
      <c r="O29" s="3"/>
      <c r="P29" s="15"/>
      <c r="Q29" s="16"/>
    </row>
    <row r="30">
      <c r="A30" s="12">
        <v>46140.0</v>
      </c>
      <c r="B30" s="8">
        <v>2.0</v>
      </c>
      <c r="C30" s="8">
        <v>2.0</v>
      </c>
      <c r="D30" s="8">
        <v>1.0</v>
      </c>
      <c r="E30" s="8"/>
      <c r="F30" s="8">
        <v>1.0</v>
      </c>
      <c r="G30" s="8">
        <v>1.0</v>
      </c>
      <c r="H30" s="8">
        <v>2.0</v>
      </c>
      <c r="I30" s="8"/>
      <c r="J30" s="8">
        <v>1.0</v>
      </c>
      <c r="K30" s="8">
        <v>2.0</v>
      </c>
      <c r="M30" s="13">
        <v>46140.0</v>
      </c>
      <c r="N30" s="14">
        <f>1500</f>
        <v>1500</v>
      </c>
      <c r="O30" s="3"/>
      <c r="P30" s="15" t="s">
        <v>93</v>
      </c>
      <c r="Q30" s="15" t="s">
        <v>64</v>
      </c>
    </row>
    <row r="31">
      <c r="A31" s="12">
        <v>46141.0</v>
      </c>
      <c r="B31" s="8">
        <v>2.0</v>
      </c>
      <c r="C31" s="8">
        <v>2.0</v>
      </c>
      <c r="D31" s="8">
        <v>1.0</v>
      </c>
      <c r="E31" s="8"/>
      <c r="F31" s="8">
        <v>1.0</v>
      </c>
      <c r="G31" s="8">
        <v>1.0</v>
      </c>
      <c r="H31" s="8">
        <v>2.0</v>
      </c>
      <c r="I31" s="8"/>
      <c r="J31" s="8">
        <v>1.0</v>
      </c>
      <c r="K31" s="8">
        <v>2.0</v>
      </c>
      <c r="M31" s="13">
        <v>46141.0</v>
      </c>
      <c r="N31" s="18">
        <f>360</f>
        <v>360</v>
      </c>
      <c r="O31" s="3"/>
      <c r="P31" s="15" t="s">
        <v>18</v>
      </c>
      <c r="Q31" s="15" t="s">
        <v>38</v>
      </c>
    </row>
    <row r="32">
      <c r="A32" s="12">
        <v>46142.0</v>
      </c>
      <c r="B32" s="8">
        <v>2.0</v>
      </c>
      <c r="C32" s="8">
        <v>2.0</v>
      </c>
      <c r="D32" s="8">
        <v>1.0</v>
      </c>
      <c r="E32" s="8"/>
      <c r="F32" s="8">
        <v>1.0</v>
      </c>
      <c r="G32" s="8">
        <v>1.0</v>
      </c>
      <c r="H32" s="8">
        <v>2.0</v>
      </c>
      <c r="I32" s="7"/>
      <c r="J32" s="8">
        <v>1.0</v>
      </c>
      <c r="K32" s="8">
        <v>2.0</v>
      </c>
      <c r="M32" s="13">
        <v>46142.0</v>
      </c>
      <c r="N32" s="14">
        <f>235</f>
        <v>235</v>
      </c>
      <c r="O32" s="3"/>
      <c r="P32" s="15" t="s">
        <v>14</v>
      </c>
      <c r="Q32" s="15" t="s">
        <v>39</v>
      </c>
    </row>
    <row r="33">
      <c r="A33" s="12">
        <v>46143.0</v>
      </c>
      <c r="B33" s="8"/>
      <c r="C33" s="8"/>
      <c r="D33" s="8"/>
      <c r="E33" s="8"/>
      <c r="F33" s="7"/>
      <c r="G33" s="8"/>
      <c r="H33" s="8"/>
      <c r="I33" s="8"/>
      <c r="J33" s="8"/>
      <c r="K33" s="8"/>
      <c r="M33" s="13">
        <v>46143.0</v>
      </c>
      <c r="N33" s="14">
        <f>-500</f>
        <v>-500</v>
      </c>
      <c r="O33" s="3"/>
      <c r="P33" s="15" t="s">
        <v>86</v>
      </c>
      <c r="Q33" s="15"/>
    </row>
    <row r="34">
      <c r="A34" s="5" t="s">
        <v>46</v>
      </c>
      <c r="B34" s="22">
        <f t="shared" ref="B34:K34" si="5">SUM(B2:B33)</f>
        <v>53</v>
      </c>
      <c r="C34" s="22">
        <f t="shared" si="5"/>
        <v>52</v>
      </c>
      <c r="D34" s="22">
        <f t="shared" si="5"/>
        <v>18</v>
      </c>
      <c r="E34" s="22">
        <f t="shared" si="5"/>
        <v>0</v>
      </c>
      <c r="F34" s="22">
        <f t="shared" si="5"/>
        <v>9</v>
      </c>
      <c r="G34" s="22">
        <f t="shared" si="5"/>
        <v>37</v>
      </c>
      <c r="H34" s="22">
        <f t="shared" si="5"/>
        <v>56</v>
      </c>
      <c r="I34" s="22">
        <f t="shared" si="5"/>
        <v>0</v>
      </c>
      <c r="J34" s="22">
        <f t="shared" si="5"/>
        <v>41</v>
      </c>
      <c r="K34" s="22">
        <f t="shared" si="5"/>
        <v>39</v>
      </c>
      <c r="M34" s="9" t="s">
        <v>46</v>
      </c>
      <c r="N34" s="23">
        <f>SUM(N3:N33)</f>
        <v>16498</v>
      </c>
      <c r="O34" s="3"/>
      <c r="P34" s="24" t="s">
        <v>90</v>
      </c>
      <c r="Q34" s="16"/>
    </row>
    <row r="35">
      <c r="A35" s="25">
        <f>SUM(B34:K34)</f>
        <v>305</v>
      </c>
    </row>
    <row r="37">
      <c r="M37" s="26" t="s">
        <v>91</v>
      </c>
      <c r="N37" s="27">
        <f>(T13-N34)+ 'March 2026'!N37</f>
        <v>500</v>
      </c>
      <c r="P37" s="28" t="s">
        <v>90</v>
      </c>
    </row>
  </sheetData>
  <mergeCells count="39">
    <mergeCell ref="A1:K1"/>
    <mergeCell ref="M1:Q1"/>
    <mergeCell ref="S1:U1"/>
    <mergeCell ref="W1:Y1"/>
    <mergeCell ref="AA1:AE1"/>
    <mergeCell ref="N2:O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32:O32"/>
    <mergeCell ref="N33:O33"/>
    <mergeCell ref="N34:O34"/>
    <mergeCell ref="N37:O37"/>
    <mergeCell ref="N25:O25"/>
    <mergeCell ref="N26:O26"/>
    <mergeCell ref="N27:O27"/>
    <mergeCell ref="N28:O28"/>
    <mergeCell ref="N29:O29"/>
    <mergeCell ref="N30:O30"/>
    <mergeCell ref="N31:O31"/>
  </mergeCells>
  <conditionalFormatting sqref="AE3:AE12">
    <cfRule type="cellIs" dxfId="0" priority="1" operator="greaterThan">
      <formula>0</formula>
    </cfRule>
  </conditionalFormatting>
  <conditionalFormatting sqref="AE3:AE12">
    <cfRule type="cellIs" dxfId="1" priority="2" operator="equal">
      <formula>0</formula>
    </cfRule>
  </conditionalFormatting>
  <conditionalFormatting sqref="AE3:AE12">
    <cfRule type="cellIs" dxfId="2" priority="3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4.88"/>
    <col customWidth="1" min="17" max="17" width="34.0"/>
    <col customWidth="1" min="24" max="24" width="24.5"/>
    <col customWidth="1" min="39" max="39" width="2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M1" s="4" t="s">
        <v>1</v>
      </c>
      <c r="N1" s="2"/>
      <c r="O1" s="2"/>
      <c r="P1" s="2"/>
      <c r="Q1" s="3"/>
      <c r="S1" s="1" t="s">
        <v>2</v>
      </c>
      <c r="T1" s="2"/>
      <c r="U1" s="3"/>
      <c r="W1" s="4" t="s">
        <v>3</v>
      </c>
      <c r="X1" s="2"/>
      <c r="Y1" s="3"/>
      <c r="AA1" s="1" t="s">
        <v>4</v>
      </c>
      <c r="AB1" s="2"/>
      <c r="AC1" s="2"/>
      <c r="AD1" s="2"/>
      <c r="AE1" s="3"/>
      <c r="AG1" s="1" t="s">
        <v>99</v>
      </c>
      <c r="AH1" s="2"/>
      <c r="AI1" s="2"/>
      <c r="AJ1" s="2"/>
      <c r="AK1" s="2"/>
      <c r="AL1" s="2"/>
      <c r="AM1" s="2"/>
      <c r="AN1" s="3"/>
      <c r="AP1" s="30" t="s">
        <v>100</v>
      </c>
      <c r="AQ1" s="2"/>
      <c r="AR1" s="3"/>
      <c r="AT1" s="1" t="s">
        <v>101</v>
      </c>
      <c r="AU1" s="2"/>
      <c r="AV1" s="2"/>
      <c r="AW1" s="3"/>
    </row>
    <row r="2">
      <c r="A2" s="5" t="s">
        <v>5</v>
      </c>
      <c r="B2" s="6" t="s">
        <v>6</v>
      </c>
      <c r="C2" s="6" t="s">
        <v>7</v>
      </c>
      <c r="D2" s="6" t="s">
        <v>13</v>
      </c>
      <c r="E2" s="6"/>
      <c r="F2" s="6" t="s">
        <v>10</v>
      </c>
      <c r="G2" s="6" t="s">
        <v>11</v>
      </c>
      <c r="H2" s="6" t="s">
        <v>12</v>
      </c>
      <c r="I2" s="6" t="s">
        <v>15</v>
      </c>
      <c r="J2" s="8" t="s">
        <v>14</v>
      </c>
      <c r="K2" s="8" t="s">
        <v>18</v>
      </c>
      <c r="M2" s="9" t="s">
        <v>5</v>
      </c>
      <c r="N2" s="10" t="s">
        <v>16</v>
      </c>
      <c r="O2" s="3"/>
      <c r="P2" s="9" t="s">
        <v>17</v>
      </c>
      <c r="Q2" s="9" t="s">
        <v>19</v>
      </c>
      <c r="S2" s="5" t="s">
        <v>20</v>
      </c>
      <c r="T2" s="5" t="s">
        <v>16</v>
      </c>
      <c r="U2" s="5" t="s">
        <v>21</v>
      </c>
      <c r="X2" s="11">
        <f>ROUND(N34/A35, 2)</f>
        <v>59.41</v>
      </c>
      <c r="AA2" s="5" t="s">
        <v>20</v>
      </c>
      <c r="AB2" s="5" t="s">
        <v>22</v>
      </c>
      <c r="AC2" s="5" t="s">
        <v>23</v>
      </c>
      <c r="AD2" s="5" t="s">
        <v>24</v>
      </c>
      <c r="AE2" s="5" t="s">
        <v>25</v>
      </c>
      <c r="AG2" s="31" t="s">
        <v>102</v>
      </c>
      <c r="AH2" s="31" t="s">
        <v>103</v>
      </c>
      <c r="AI2" s="31" t="s">
        <v>104</v>
      </c>
      <c r="AJ2" s="31" t="s">
        <v>105</v>
      </c>
      <c r="AK2" s="31" t="s">
        <v>106</v>
      </c>
      <c r="AL2" s="31" t="s">
        <v>107</v>
      </c>
      <c r="AM2" s="31" t="s">
        <v>109</v>
      </c>
      <c r="AN2" s="31" t="s">
        <v>46</v>
      </c>
      <c r="AP2" s="31" t="s">
        <v>20</v>
      </c>
      <c r="AQ2" s="31" t="s">
        <v>16</v>
      </c>
      <c r="AR2" s="31" t="s">
        <v>111</v>
      </c>
      <c r="AT2" s="31" t="s">
        <v>112</v>
      </c>
      <c r="AU2" s="31" t="s">
        <v>113</v>
      </c>
      <c r="AV2" s="31" t="s">
        <v>114</v>
      </c>
      <c r="AW2" s="31" t="s">
        <v>115</v>
      </c>
    </row>
    <row r="3">
      <c r="A3" s="12">
        <v>46143.0</v>
      </c>
      <c r="B3" s="8">
        <v>2.0</v>
      </c>
      <c r="C3" s="8">
        <v>2.0</v>
      </c>
      <c r="D3" s="8">
        <v>1.0</v>
      </c>
      <c r="E3" s="8"/>
      <c r="F3" s="8">
        <v>1.0</v>
      </c>
      <c r="G3" s="8">
        <v>1.0</v>
      </c>
      <c r="H3" s="8">
        <v>2.0</v>
      </c>
      <c r="I3" s="8"/>
      <c r="J3" s="8">
        <v>1.0</v>
      </c>
      <c r="K3" s="8">
        <v>2.0</v>
      </c>
      <c r="M3" s="13">
        <v>46143.0</v>
      </c>
      <c r="N3" s="14">
        <f>500</f>
        <v>500</v>
      </c>
      <c r="O3" s="3"/>
      <c r="P3" s="15" t="s">
        <v>86</v>
      </c>
      <c r="Q3" s="15"/>
      <c r="S3" s="17" t="s">
        <v>6</v>
      </c>
      <c r="T3" s="8">
        <f>650+2450-3000+150+360+1000+900</f>
        <v>2510</v>
      </c>
      <c r="U3" s="8">
        <v>3000.0</v>
      </c>
      <c r="AA3" s="17" t="s">
        <v>6</v>
      </c>
      <c r="AB3" s="7">
        <f>B34</f>
        <v>51</v>
      </c>
      <c r="AC3" s="7">
        <f>AB3*X2</f>
        <v>3029.91</v>
      </c>
      <c r="AD3" s="7">
        <f t="shared" ref="AD3:AD12" si="1">T3</f>
        <v>2510</v>
      </c>
      <c r="AE3" s="7">
        <f>(AD3-AC3)+'April 2026'!AE3</f>
        <v>5785.45</v>
      </c>
      <c r="AG3" s="32" t="s">
        <v>116</v>
      </c>
      <c r="AH3" s="31" t="s">
        <v>6</v>
      </c>
      <c r="AI3" s="8">
        <f>0</f>
        <v>0</v>
      </c>
      <c r="AJ3" s="7"/>
      <c r="AK3" s="7">
        <f>(178-43.344)</f>
        <v>134.656</v>
      </c>
      <c r="AL3" s="7">
        <f>((75*5.26)+((178-SUM(AI4:AI5)-75)*7.2))/3</f>
        <v>274.6744</v>
      </c>
      <c r="AM3" s="8">
        <f t="shared" ref="AM3:AM5" si="2">(AJ3+AL3)+(336+74)/3</f>
        <v>411.3410667</v>
      </c>
      <c r="AN3" s="33">
        <f>SUM(AM3:AM5)</f>
        <v>1546.1</v>
      </c>
      <c r="AP3" s="31" t="s">
        <v>117</v>
      </c>
      <c r="AQ3" s="8">
        <f>AN3</f>
        <v>1546.1</v>
      </c>
      <c r="AR3" s="8">
        <f>AN6</f>
        <v>1055</v>
      </c>
      <c r="AT3" s="31" t="s">
        <v>6</v>
      </c>
      <c r="AU3" s="8">
        <f>AM3+(AQ4/8)+(AQ5/3)+(AQ6/8)+(AQ7/8)</f>
        <v>1478.007733</v>
      </c>
      <c r="AV3" s="8">
        <f t="shared" ref="AV3:AV10" si="3">0</f>
        <v>0</v>
      </c>
      <c r="AW3" s="8">
        <f t="shared" ref="AW3:AW10" si="4">AV3-AU3</f>
        <v>-1478.007733</v>
      </c>
    </row>
    <row r="4">
      <c r="A4" s="12">
        <v>46144.0</v>
      </c>
      <c r="B4" s="8">
        <v>2.0</v>
      </c>
      <c r="C4" s="8">
        <v>2.0</v>
      </c>
      <c r="D4" s="8">
        <v>1.0</v>
      </c>
      <c r="E4" s="8"/>
      <c r="F4" s="8">
        <v>1.0</v>
      </c>
      <c r="G4" s="8">
        <v>1.0</v>
      </c>
      <c r="H4" s="8">
        <v>2.0</v>
      </c>
      <c r="I4" s="8"/>
      <c r="J4" s="8">
        <v>1.0</v>
      </c>
      <c r="K4" s="8">
        <v>2.0</v>
      </c>
      <c r="M4" s="13">
        <v>46144.0</v>
      </c>
      <c r="N4" s="14">
        <f>650+2450</f>
        <v>3100</v>
      </c>
      <c r="O4" s="3"/>
      <c r="P4" s="15" t="s">
        <v>6</v>
      </c>
      <c r="Q4" s="15" t="s">
        <v>118</v>
      </c>
      <c r="S4" s="17" t="s">
        <v>7</v>
      </c>
      <c r="T4" s="8">
        <f>4000+985+665+145+100+360+200+240</f>
        <v>6695</v>
      </c>
      <c r="U4" s="8">
        <v>3000.0</v>
      </c>
      <c r="AA4" s="17" t="s">
        <v>7</v>
      </c>
      <c r="AB4" s="7">
        <f>C34</f>
        <v>41</v>
      </c>
      <c r="AC4" s="7">
        <f>AB4*X2</f>
        <v>2435.81</v>
      </c>
      <c r="AD4" s="7">
        <f t="shared" si="1"/>
        <v>6695</v>
      </c>
      <c r="AE4" s="7">
        <f>(AD4-AC4)+'April 2026'!AE4</f>
        <v>1617.43</v>
      </c>
      <c r="AG4" s="34"/>
      <c r="AH4" s="31" t="s">
        <v>13</v>
      </c>
      <c r="AI4" s="8">
        <f>(1940.66-1798.33)/5</f>
        <v>28.466</v>
      </c>
      <c r="AJ4" s="7">
        <f t="shared" ref="AJ4:AJ5" si="5">AI4*7.2</f>
        <v>204.9552</v>
      </c>
      <c r="AK4" s="7">
        <f t="shared" ref="AK4:AK5" si="6">(178-43.344)/3</f>
        <v>44.88533333</v>
      </c>
      <c r="AL4" s="7">
        <f>((75*5.26)+((178-SUM(AI4:AI5)-75)*7.2))/3</f>
        <v>274.6744</v>
      </c>
      <c r="AM4" s="8">
        <f t="shared" si="2"/>
        <v>616.2962667</v>
      </c>
      <c r="AN4" s="34"/>
      <c r="AP4" s="31" t="s">
        <v>120</v>
      </c>
      <c r="AQ4" s="8">
        <v>6000.0</v>
      </c>
      <c r="AR4" s="8">
        <v>0.0</v>
      </c>
      <c r="AT4" s="31" t="s">
        <v>7</v>
      </c>
      <c r="AU4" s="8">
        <f>AM5+(AQ4/8)+(AQ5/3)+(AQ6/8)+(AQ7/8)</f>
        <v>1585.129333</v>
      </c>
      <c r="AV4" s="8">
        <f t="shared" si="3"/>
        <v>0</v>
      </c>
      <c r="AW4" s="8">
        <f t="shared" si="4"/>
        <v>-1585.129333</v>
      </c>
    </row>
    <row r="5">
      <c r="A5" s="12">
        <v>46145.0</v>
      </c>
      <c r="B5" s="8">
        <v>2.0</v>
      </c>
      <c r="C5" s="8">
        <v>2.0</v>
      </c>
      <c r="D5" s="8">
        <v>1.0</v>
      </c>
      <c r="E5" s="8"/>
      <c r="F5" s="8">
        <v>1.0</v>
      </c>
      <c r="G5" s="8">
        <v>1.0</v>
      </c>
      <c r="H5" s="8">
        <v>2.0</v>
      </c>
      <c r="I5" s="8"/>
      <c r="J5" s="8">
        <v>1.0</v>
      </c>
      <c r="K5" s="8">
        <v>2.0</v>
      </c>
      <c r="M5" s="13">
        <v>46145.0</v>
      </c>
      <c r="N5" s="18">
        <f>20</f>
        <v>20</v>
      </c>
      <c r="O5" s="3"/>
      <c r="P5" s="15" t="s">
        <v>18</v>
      </c>
      <c r="Q5" s="15" t="s">
        <v>121</v>
      </c>
      <c r="S5" s="17" t="s">
        <v>13</v>
      </c>
      <c r="T5" s="8">
        <f>1000</f>
        <v>1000</v>
      </c>
      <c r="U5" s="8">
        <v>3000.0</v>
      </c>
      <c r="AA5" s="17" t="s">
        <v>13</v>
      </c>
      <c r="AB5" s="7">
        <f>D34</f>
        <v>8</v>
      </c>
      <c r="AC5" s="7">
        <f>AB5*X2</f>
        <v>475.28</v>
      </c>
      <c r="AD5" s="7">
        <f t="shared" si="1"/>
        <v>1000</v>
      </c>
      <c r="AE5" s="7">
        <f>(AD5-AC5)+'April 2026'!AE5</f>
        <v>-448.9</v>
      </c>
      <c r="AG5" s="21"/>
      <c r="AH5" s="31" t="s">
        <v>7</v>
      </c>
      <c r="AI5" s="7">
        <f>(2019.85-1945.46)/5</f>
        <v>14.878</v>
      </c>
      <c r="AJ5" s="8">
        <f t="shared" si="5"/>
        <v>107.1216</v>
      </c>
      <c r="AK5" s="7">
        <f t="shared" si="6"/>
        <v>44.88533333</v>
      </c>
      <c r="AL5" s="7">
        <f>((75*5.26)+((178-SUM(AI4:AI5)-75)*7.2))/3</f>
        <v>274.6744</v>
      </c>
      <c r="AM5" s="8">
        <f t="shared" si="2"/>
        <v>518.4626667</v>
      </c>
      <c r="AN5" s="21"/>
      <c r="AP5" s="31" t="s">
        <v>124</v>
      </c>
      <c r="AQ5" s="8">
        <v>200.0</v>
      </c>
      <c r="AR5" s="8">
        <v>200.0</v>
      </c>
      <c r="AT5" s="31" t="s">
        <v>13</v>
      </c>
      <c r="AU5" s="8">
        <f>AM4+(AQ4/8)+(AQ5/3)+(AQ6/8)+(AQ7/8)+333</f>
        <v>2015.962933</v>
      </c>
      <c r="AV5" s="8">
        <f t="shared" si="3"/>
        <v>0</v>
      </c>
      <c r="AW5" s="8">
        <f t="shared" si="4"/>
        <v>-2015.962933</v>
      </c>
    </row>
    <row r="6">
      <c r="A6" s="12">
        <v>46146.0</v>
      </c>
      <c r="B6" s="8">
        <v>2.0</v>
      </c>
      <c r="C6" s="8">
        <v>2.0</v>
      </c>
      <c r="D6" s="8">
        <v>1.0</v>
      </c>
      <c r="E6" s="7"/>
      <c r="F6" s="8">
        <v>1.0</v>
      </c>
      <c r="G6" s="8">
        <v>1.0</v>
      </c>
      <c r="H6" s="8">
        <v>2.0</v>
      </c>
      <c r="I6" s="8"/>
      <c r="J6" s="8">
        <v>1.0</v>
      </c>
      <c r="K6" s="8">
        <v>2.0</v>
      </c>
      <c r="M6" s="13">
        <v>46146.0</v>
      </c>
      <c r="N6" s="14">
        <f>985+665</f>
        <v>1650</v>
      </c>
      <c r="O6" s="3"/>
      <c r="P6" s="15" t="s">
        <v>7</v>
      </c>
      <c r="Q6" s="15" t="s">
        <v>64</v>
      </c>
      <c r="S6" s="17"/>
      <c r="T6" s="8"/>
      <c r="U6" s="8">
        <v>3000.0</v>
      </c>
      <c r="AA6" s="17"/>
      <c r="AB6" s="7">
        <f>E34</f>
        <v>0</v>
      </c>
      <c r="AC6" s="7">
        <f>AB6*X2</f>
        <v>0</v>
      </c>
      <c r="AD6" s="7" t="str">
        <f t="shared" si="1"/>
        <v/>
      </c>
      <c r="AE6" s="7">
        <f>(AD6-AC6)+'April 2026'!AE6</f>
        <v>0</v>
      </c>
      <c r="AG6" s="32" t="s">
        <v>125</v>
      </c>
      <c r="AH6" s="31" t="s">
        <v>12</v>
      </c>
      <c r="AI6" s="8">
        <v>0.0</v>
      </c>
      <c r="AJ6" s="8"/>
      <c r="AK6" s="8">
        <f t="shared" ref="AK6:AK10" si="7">113/5</f>
        <v>22.6</v>
      </c>
      <c r="AL6" s="8">
        <f t="shared" ref="AL6:AL10" si="8">211</f>
        <v>211</v>
      </c>
      <c r="AM6" s="8">
        <f t="shared" ref="AM6:AM10" si="9">AJ6+AL6</f>
        <v>211</v>
      </c>
      <c r="AN6" s="33">
        <f>SUM(AM6:AM10)</f>
        <v>1055</v>
      </c>
      <c r="AP6" s="31" t="s">
        <v>127</v>
      </c>
      <c r="AQ6" s="8">
        <v>2000.0</v>
      </c>
      <c r="AR6" s="8">
        <v>0.0</v>
      </c>
      <c r="AT6" s="31" t="s">
        <v>10</v>
      </c>
      <c r="AU6" s="8">
        <f>AM7+(AQ4/8)+(AR5/5)+(AQ6/8)+(AQ7/8)</f>
        <v>1251</v>
      </c>
      <c r="AV6" s="8">
        <f t="shared" si="3"/>
        <v>0</v>
      </c>
      <c r="AW6" s="8">
        <f t="shared" si="4"/>
        <v>-1251</v>
      </c>
    </row>
    <row r="7">
      <c r="A7" s="12">
        <v>46147.0</v>
      </c>
      <c r="B7" s="8">
        <v>2.0</v>
      </c>
      <c r="C7" s="8">
        <v>2.0</v>
      </c>
      <c r="D7" s="8">
        <v>1.0</v>
      </c>
      <c r="E7" s="8"/>
      <c r="F7" s="8">
        <v>1.0</v>
      </c>
      <c r="G7" s="8">
        <v>2.0</v>
      </c>
      <c r="H7" s="8">
        <v>2.0</v>
      </c>
      <c r="I7" s="8"/>
      <c r="J7" s="8">
        <v>1.0</v>
      </c>
      <c r="K7" s="8">
        <v>2.0</v>
      </c>
      <c r="M7" s="13">
        <v>46147.0</v>
      </c>
      <c r="N7" s="14"/>
      <c r="O7" s="3"/>
      <c r="P7" s="15"/>
      <c r="Q7" s="15"/>
      <c r="S7" s="17" t="s">
        <v>10</v>
      </c>
      <c r="T7" s="8"/>
      <c r="U7" s="8">
        <v>3000.0</v>
      </c>
      <c r="AA7" s="17" t="s">
        <v>10</v>
      </c>
      <c r="AB7" s="7">
        <f>F34</f>
        <v>15</v>
      </c>
      <c r="AC7" s="7">
        <f>AB7*X2</f>
        <v>891.15</v>
      </c>
      <c r="AD7" s="7" t="str">
        <f t="shared" si="1"/>
        <v/>
      </c>
      <c r="AE7" s="7">
        <f>(AD7-AC7)+'April 2026'!AE7</f>
        <v>-690.11</v>
      </c>
      <c r="AG7" s="34"/>
      <c r="AH7" s="31" t="s">
        <v>10</v>
      </c>
      <c r="AI7" s="8">
        <v>0.0</v>
      </c>
      <c r="AJ7" s="8"/>
      <c r="AK7" s="8">
        <f t="shared" si="7"/>
        <v>22.6</v>
      </c>
      <c r="AL7" s="8">
        <f t="shared" si="8"/>
        <v>211</v>
      </c>
      <c r="AM7" s="8">
        <f t="shared" si="9"/>
        <v>211</v>
      </c>
      <c r="AN7" s="34"/>
      <c r="AP7" s="31" t="s">
        <v>128</v>
      </c>
      <c r="AQ7" s="8">
        <v>0.0</v>
      </c>
      <c r="AR7" s="8">
        <v>0.0</v>
      </c>
      <c r="AT7" s="31" t="s">
        <v>11</v>
      </c>
      <c r="AU7" s="8">
        <f>AM8+(AQ4/8)+(AR5/5)+(AQ6/8)+(AQ7/8)</f>
        <v>1251</v>
      </c>
      <c r="AV7" s="8">
        <f t="shared" si="3"/>
        <v>0</v>
      </c>
      <c r="AW7" s="8">
        <f t="shared" si="4"/>
        <v>-1251</v>
      </c>
    </row>
    <row r="8">
      <c r="A8" s="12">
        <v>46148.0</v>
      </c>
      <c r="B8" s="8">
        <v>4.0</v>
      </c>
      <c r="C8" s="8">
        <v>2.0</v>
      </c>
      <c r="D8" s="8">
        <v>1.0</v>
      </c>
      <c r="E8" s="8"/>
      <c r="F8" s="8">
        <v>1.0</v>
      </c>
      <c r="G8" s="8">
        <v>1.0</v>
      </c>
      <c r="H8" s="8">
        <v>2.0</v>
      </c>
      <c r="I8" s="8"/>
      <c r="J8" s="8">
        <v>1.0</v>
      </c>
      <c r="K8" s="8">
        <v>2.0</v>
      </c>
      <c r="M8" s="13">
        <v>46148.0</v>
      </c>
      <c r="N8" s="14"/>
      <c r="O8" s="3"/>
      <c r="P8" s="15"/>
      <c r="Q8" s="15"/>
      <c r="S8" s="17" t="s">
        <v>11</v>
      </c>
      <c r="T8" s="8">
        <f>1569+467+140</f>
        <v>2176</v>
      </c>
      <c r="U8" s="8">
        <v>3000.0</v>
      </c>
      <c r="AA8" s="17" t="s">
        <v>11</v>
      </c>
      <c r="AB8" s="7">
        <f>G34</f>
        <v>22</v>
      </c>
      <c r="AC8" s="7">
        <f>AB8*X2</f>
        <v>1307.02</v>
      </c>
      <c r="AD8" s="7">
        <f t="shared" si="1"/>
        <v>2176</v>
      </c>
      <c r="AE8" s="7">
        <f>(AD8-AC8)+'April 2026'!AE8</f>
        <v>433.35</v>
      </c>
      <c r="AG8" s="34"/>
      <c r="AH8" s="31" t="s">
        <v>11</v>
      </c>
      <c r="AI8" s="8">
        <v>0.0</v>
      </c>
      <c r="AJ8" s="8"/>
      <c r="AK8" s="8">
        <f t="shared" si="7"/>
        <v>22.6</v>
      </c>
      <c r="AL8" s="8">
        <f t="shared" si="8"/>
        <v>211</v>
      </c>
      <c r="AM8" s="8">
        <f t="shared" si="9"/>
        <v>211</v>
      </c>
      <c r="AN8" s="34"/>
      <c r="AT8" s="31" t="s">
        <v>12</v>
      </c>
      <c r="AU8" s="8">
        <f>AM6+(AQ4/8)+(AR5/5)+(AQ6/8)+(AQ7/8)</f>
        <v>1251</v>
      </c>
      <c r="AV8" s="8">
        <f t="shared" si="3"/>
        <v>0</v>
      </c>
      <c r="AW8" s="8">
        <f t="shared" si="4"/>
        <v>-1251</v>
      </c>
    </row>
    <row r="9">
      <c r="A9" s="12">
        <v>46149.0</v>
      </c>
      <c r="B9" s="8">
        <v>2.0</v>
      </c>
      <c r="C9" s="8">
        <v>1.0</v>
      </c>
      <c r="D9" s="8"/>
      <c r="E9" s="8"/>
      <c r="F9" s="8">
        <v>1.0</v>
      </c>
      <c r="G9" s="8">
        <v>1.0</v>
      </c>
      <c r="H9" s="8">
        <v>1.0</v>
      </c>
      <c r="I9" s="8"/>
      <c r="J9" s="8">
        <v>0.0</v>
      </c>
      <c r="K9" s="8">
        <v>1.0</v>
      </c>
      <c r="M9" s="13">
        <v>46149.0</v>
      </c>
      <c r="N9" s="18">
        <f>145+1150</f>
        <v>1295</v>
      </c>
      <c r="O9" s="3"/>
      <c r="P9" s="15" t="s">
        <v>131</v>
      </c>
      <c r="Q9" s="15" t="s">
        <v>51</v>
      </c>
      <c r="S9" s="17" t="s">
        <v>12</v>
      </c>
      <c r="T9" s="8"/>
      <c r="U9" s="8">
        <v>3000.0</v>
      </c>
      <c r="AA9" s="17" t="s">
        <v>12</v>
      </c>
      <c r="AB9" s="7">
        <f>H34</f>
        <v>41</v>
      </c>
      <c r="AC9" s="7">
        <f>AB9*X2</f>
        <v>2435.81</v>
      </c>
      <c r="AD9" s="7" t="str">
        <f t="shared" si="1"/>
        <v/>
      </c>
      <c r="AE9" s="7">
        <f>(AD9-AC9)+'April 2026'!AE9</f>
        <v>-6649.08</v>
      </c>
      <c r="AG9" s="34"/>
      <c r="AH9" s="31" t="s">
        <v>14</v>
      </c>
      <c r="AI9" s="8">
        <v>0.0</v>
      </c>
      <c r="AJ9" s="8"/>
      <c r="AK9" s="8">
        <f t="shared" si="7"/>
        <v>22.6</v>
      </c>
      <c r="AL9" s="8">
        <f t="shared" si="8"/>
        <v>211</v>
      </c>
      <c r="AM9" s="8">
        <f t="shared" si="9"/>
        <v>211</v>
      </c>
      <c r="AN9" s="34"/>
      <c r="AT9" s="31" t="s">
        <v>14</v>
      </c>
      <c r="AU9" s="8">
        <f>AM9+(AQ4/8)+(AR5/5)+(AQ6/8)+(AQ7/8)</f>
        <v>1251</v>
      </c>
      <c r="AV9" s="8">
        <f t="shared" si="3"/>
        <v>0</v>
      </c>
      <c r="AW9" s="8">
        <f t="shared" si="4"/>
        <v>-1251</v>
      </c>
    </row>
    <row r="10">
      <c r="A10" s="12">
        <v>46150.0</v>
      </c>
      <c r="B10" s="8">
        <v>4.0</v>
      </c>
      <c r="C10" s="8">
        <v>2.0</v>
      </c>
      <c r="D10" s="8"/>
      <c r="E10" s="8"/>
      <c r="F10" s="8">
        <v>1.0</v>
      </c>
      <c r="G10" s="8"/>
      <c r="H10" s="8">
        <v>2.0</v>
      </c>
      <c r="I10" s="8"/>
      <c r="J10" s="8">
        <v>1.0</v>
      </c>
      <c r="K10" s="8">
        <v>1.0</v>
      </c>
      <c r="M10" s="13">
        <v>46150.0</v>
      </c>
      <c r="N10" s="14"/>
      <c r="O10" s="3"/>
      <c r="P10" s="15"/>
      <c r="Q10" s="15"/>
      <c r="S10" s="17" t="s">
        <v>15</v>
      </c>
      <c r="T10" s="8"/>
      <c r="U10" s="8">
        <v>3000.0</v>
      </c>
      <c r="AA10" s="17"/>
      <c r="AB10" s="7">
        <f>I34</f>
        <v>0</v>
      </c>
      <c r="AC10" s="7">
        <f>AB10*X2</f>
        <v>0</v>
      </c>
      <c r="AD10" s="7" t="str">
        <f t="shared" si="1"/>
        <v/>
      </c>
      <c r="AE10" s="7">
        <f>(AD10-AC10)+'April 2026'!AE10</f>
        <v>0</v>
      </c>
      <c r="AG10" s="21"/>
      <c r="AH10" s="31" t="s">
        <v>18</v>
      </c>
      <c r="AI10" s="8">
        <v>0.0</v>
      </c>
      <c r="AJ10" s="8"/>
      <c r="AK10" s="8">
        <f t="shared" si="7"/>
        <v>22.6</v>
      </c>
      <c r="AL10" s="8">
        <f t="shared" si="8"/>
        <v>211</v>
      </c>
      <c r="AM10" s="8">
        <f t="shared" si="9"/>
        <v>211</v>
      </c>
      <c r="AN10" s="21"/>
      <c r="AT10" s="31" t="s">
        <v>18</v>
      </c>
      <c r="AU10" s="8">
        <f>AM10+(AQ4/8)+(AR5/5)+(AQ6/8)+(AQ7/8)</f>
        <v>1251</v>
      </c>
      <c r="AV10" s="8">
        <f t="shared" si="3"/>
        <v>0</v>
      </c>
      <c r="AW10" s="8">
        <f t="shared" si="4"/>
        <v>-1251</v>
      </c>
    </row>
    <row r="11">
      <c r="A11" s="12">
        <v>46151.0</v>
      </c>
      <c r="B11" s="8">
        <v>4.0</v>
      </c>
      <c r="C11" s="8">
        <v>2.0</v>
      </c>
      <c r="D11" s="8">
        <v>1.0</v>
      </c>
      <c r="E11" s="8"/>
      <c r="F11" s="8">
        <v>1.0</v>
      </c>
      <c r="G11" s="8"/>
      <c r="H11" s="8">
        <v>2.0</v>
      </c>
      <c r="I11" s="8"/>
      <c r="J11" s="8">
        <v>1.0</v>
      </c>
      <c r="K11" s="8"/>
      <c r="M11" s="13">
        <v>46151.0</v>
      </c>
      <c r="N11" s="14">
        <f>360</f>
        <v>360</v>
      </c>
      <c r="O11" s="3"/>
      <c r="P11" s="15" t="s">
        <v>6</v>
      </c>
      <c r="Q11" s="15" t="s">
        <v>59</v>
      </c>
      <c r="S11" s="17" t="s">
        <v>14</v>
      </c>
      <c r="T11" s="8">
        <f>170</f>
        <v>170</v>
      </c>
      <c r="U11" s="8">
        <v>3000.0</v>
      </c>
      <c r="AA11" s="17" t="s">
        <v>14</v>
      </c>
      <c r="AB11" s="7">
        <f>J34</f>
        <v>25</v>
      </c>
      <c r="AC11" s="7">
        <f>AB11*X2</f>
        <v>1485.25</v>
      </c>
      <c r="AD11" s="7">
        <f t="shared" si="1"/>
        <v>170</v>
      </c>
      <c r="AE11" s="7">
        <f>(AD11-AC11)+'April 2026'!AE11</f>
        <v>926.7</v>
      </c>
    </row>
    <row r="12">
      <c r="A12" s="12">
        <v>46152.0</v>
      </c>
      <c r="B12" s="8">
        <v>4.0</v>
      </c>
      <c r="C12" s="8">
        <v>2.0</v>
      </c>
      <c r="D12" s="8">
        <v>1.0</v>
      </c>
      <c r="E12" s="8"/>
      <c r="F12" s="8">
        <v>1.0</v>
      </c>
      <c r="G12" s="8">
        <v>1.0</v>
      </c>
      <c r="H12" s="8">
        <v>2.0</v>
      </c>
      <c r="I12" s="8"/>
      <c r="J12" s="8">
        <v>2.0</v>
      </c>
      <c r="K12" s="8"/>
      <c r="M12" s="13">
        <v>46152.0</v>
      </c>
      <c r="N12" s="14">
        <f>100+140</f>
        <v>240</v>
      </c>
      <c r="O12" s="3"/>
      <c r="P12" s="15" t="s">
        <v>61</v>
      </c>
      <c r="Q12" s="15" t="s">
        <v>39</v>
      </c>
      <c r="S12" s="17" t="s">
        <v>18</v>
      </c>
      <c r="T12" s="8">
        <f>20</f>
        <v>20</v>
      </c>
      <c r="U12" s="8">
        <v>3000.0</v>
      </c>
      <c r="AA12" s="17" t="s">
        <v>18</v>
      </c>
      <c r="AB12" s="7">
        <f>K34</f>
        <v>17</v>
      </c>
      <c r="AC12" s="7">
        <f>AB12*X2</f>
        <v>1009.97</v>
      </c>
      <c r="AD12" s="7">
        <f t="shared" si="1"/>
        <v>20</v>
      </c>
      <c r="AE12" s="7">
        <f>(AD12-AC12)+'April 2026'!AE12</f>
        <v>-1092.55</v>
      </c>
    </row>
    <row r="13">
      <c r="A13" s="12">
        <v>46153.0</v>
      </c>
      <c r="B13" s="8">
        <v>4.0</v>
      </c>
      <c r="C13" s="8">
        <v>2.0</v>
      </c>
      <c r="D13" s="8"/>
      <c r="E13" s="8"/>
      <c r="F13" s="8">
        <v>1.0</v>
      </c>
      <c r="G13" s="8">
        <v>1.0</v>
      </c>
      <c r="H13" s="8">
        <v>2.0</v>
      </c>
      <c r="I13" s="8"/>
      <c r="J13" s="8">
        <v>2.0</v>
      </c>
      <c r="K13" s="8"/>
      <c r="M13" s="13">
        <v>46153.0</v>
      </c>
      <c r="N13" s="14">
        <f>1220+470+40</f>
        <v>1730</v>
      </c>
      <c r="O13" s="3"/>
      <c r="P13" s="15" t="s">
        <v>11</v>
      </c>
      <c r="Q13" s="15" t="s">
        <v>64</v>
      </c>
      <c r="S13" s="5" t="s">
        <v>46</v>
      </c>
      <c r="T13" s="7">
        <f t="shared" ref="T13:U13" si="10">SUM(T3:T12)</f>
        <v>12571</v>
      </c>
      <c r="U13" s="7">
        <f t="shared" si="10"/>
        <v>30000</v>
      </c>
      <c r="AA13" s="5" t="s">
        <v>46</v>
      </c>
      <c r="AB13" s="7">
        <f t="shared" ref="AB13:AD13" si="11">SUM(AB3:AB12)</f>
        <v>220</v>
      </c>
      <c r="AC13" s="7">
        <f t="shared" si="11"/>
        <v>13070.2</v>
      </c>
      <c r="AD13" s="7">
        <f t="shared" si="11"/>
        <v>12571</v>
      </c>
      <c r="AE13" s="7">
        <f>CEILING(AD13-AC13, 1)+'April 2026'!AE13</f>
        <v>2</v>
      </c>
    </row>
    <row r="14">
      <c r="A14" s="12">
        <v>46154.0</v>
      </c>
      <c r="B14" s="8">
        <v>2.0</v>
      </c>
      <c r="C14" s="8">
        <v>2.0</v>
      </c>
      <c r="D14" s="8"/>
      <c r="E14" s="8"/>
      <c r="F14" s="8">
        <v>1.0</v>
      </c>
      <c r="G14" s="8">
        <v>2.0</v>
      </c>
      <c r="H14" s="8">
        <v>2.0</v>
      </c>
      <c r="I14" s="8"/>
      <c r="J14" s="8">
        <v>2.0</v>
      </c>
      <c r="K14" s="8"/>
      <c r="M14" s="13">
        <v>46154.0</v>
      </c>
      <c r="N14" s="18">
        <f>946</f>
        <v>946</v>
      </c>
      <c r="O14" s="3"/>
      <c r="P14" s="15" t="s">
        <v>11</v>
      </c>
      <c r="Q14" s="15" t="s">
        <v>38</v>
      </c>
    </row>
    <row r="15">
      <c r="A15" s="12">
        <v>46155.0</v>
      </c>
      <c r="B15" s="8">
        <v>2.0</v>
      </c>
      <c r="C15" s="8">
        <v>2.0</v>
      </c>
      <c r="D15" s="8"/>
      <c r="E15" s="8"/>
      <c r="F15" s="8">
        <v>1.0</v>
      </c>
      <c r="G15" s="8">
        <v>2.0</v>
      </c>
      <c r="H15" s="8">
        <v>2.0</v>
      </c>
      <c r="I15" s="8"/>
      <c r="J15" s="8">
        <v>1.0</v>
      </c>
      <c r="K15" s="8"/>
      <c r="M15" s="13">
        <v>46155.0</v>
      </c>
      <c r="N15" s="18">
        <f>360</f>
        <v>360</v>
      </c>
      <c r="O15" s="3"/>
      <c r="P15" s="15" t="s">
        <v>7</v>
      </c>
      <c r="Q15" s="15" t="s">
        <v>59</v>
      </c>
    </row>
    <row r="16">
      <c r="A16" s="12">
        <v>46156.0</v>
      </c>
      <c r="B16" s="8">
        <v>2.0</v>
      </c>
      <c r="C16" s="8">
        <v>2.0</v>
      </c>
      <c r="D16" s="8"/>
      <c r="E16" s="8"/>
      <c r="F16" s="8">
        <v>1.0</v>
      </c>
      <c r="G16" s="8">
        <v>1.0</v>
      </c>
      <c r="H16" s="8">
        <v>4.0</v>
      </c>
      <c r="I16" s="8"/>
      <c r="J16" s="8">
        <v>1.0</v>
      </c>
      <c r="K16" s="8">
        <v>1.0</v>
      </c>
      <c r="M16" s="13">
        <v>46156.0</v>
      </c>
      <c r="N16" s="18">
        <v>360.0</v>
      </c>
      <c r="O16" s="3"/>
      <c r="P16" s="15" t="s">
        <v>6</v>
      </c>
      <c r="Q16" s="15" t="s">
        <v>59</v>
      </c>
    </row>
    <row r="17">
      <c r="A17" s="12">
        <v>46157.0</v>
      </c>
      <c r="B17" s="8">
        <v>2.0</v>
      </c>
      <c r="C17" s="8">
        <v>2.0</v>
      </c>
      <c r="D17" s="8"/>
      <c r="E17" s="8"/>
      <c r="F17" s="8">
        <v>1.0</v>
      </c>
      <c r="G17" s="8">
        <v>1.0</v>
      </c>
      <c r="H17" s="8">
        <v>4.0</v>
      </c>
      <c r="I17" s="8"/>
      <c r="J17" s="8">
        <v>1.0</v>
      </c>
      <c r="K17" s="8">
        <v>1.0</v>
      </c>
      <c r="M17" s="13">
        <v>46157.0</v>
      </c>
      <c r="N17" s="14">
        <f>200</f>
        <v>200</v>
      </c>
      <c r="O17" s="3"/>
      <c r="P17" s="15" t="s">
        <v>7</v>
      </c>
      <c r="Q17" s="15" t="s">
        <v>39</v>
      </c>
    </row>
    <row r="18">
      <c r="A18" s="12">
        <v>46158.0</v>
      </c>
      <c r="B18" s="8">
        <v>4.0</v>
      </c>
      <c r="C18" s="8">
        <v>2.0</v>
      </c>
      <c r="D18" s="8"/>
      <c r="E18" s="8"/>
      <c r="F18" s="8"/>
      <c r="G18" s="8">
        <v>1.0</v>
      </c>
      <c r="H18" s="8"/>
      <c r="I18" s="8"/>
      <c r="J18" s="8">
        <v>3.0</v>
      </c>
      <c r="K18" s="8">
        <v>1.0</v>
      </c>
      <c r="M18" s="13">
        <v>46158.0</v>
      </c>
      <c r="N18" s="14"/>
      <c r="O18" s="3"/>
      <c r="P18" s="15"/>
      <c r="Q18" s="15"/>
    </row>
    <row r="19">
      <c r="A19" s="12">
        <v>46159.0</v>
      </c>
      <c r="B19" s="8">
        <v>4.0</v>
      </c>
      <c r="C19" s="8">
        <v>2.0</v>
      </c>
      <c r="D19" s="7"/>
      <c r="E19" s="8"/>
      <c r="F19" s="8"/>
      <c r="G19" s="8">
        <v>1.0</v>
      </c>
      <c r="H19" s="8"/>
      <c r="I19" s="8"/>
      <c r="J19" s="8">
        <v>1.0</v>
      </c>
      <c r="K19" s="8"/>
      <c r="M19" s="13">
        <v>46159.0</v>
      </c>
      <c r="N19" s="14">
        <f>240+1170</f>
        <v>1410</v>
      </c>
      <c r="O19" s="3"/>
      <c r="P19" s="15" t="s">
        <v>141</v>
      </c>
      <c r="Q19" s="15" t="s">
        <v>142</v>
      </c>
    </row>
    <row r="20">
      <c r="A20" s="12">
        <v>46160.0</v>
      </c>
      <c r="B20" s="8">
        <v>2.0</v>
      </c>
      <c r="C20" s="8">
        <v>2.0</v>
      </c>
      <c r="D20" s="8"/>
      <c r="E20" s="8"/>
      <c r="F20" s="8"/>
      <c r="G20" s="8">
        <v>1.0</v>
      </c>
      <c r="H20" s="8">
        <v>2.0</v>
      </c>
      <c r="I20" s="8"/>
      <c r="J20" s="8">
        <v>1.0</v>
      </c>
      <c r="K20" s="8"/>
      <c r="M20" s="13">
        <v>46160.0</v>
      </c>
      <c r="N20" s="14">
        <f>900</f>
        <v>900</v>
      </c>
      <c r="O20" s="3"/>
      <c r="P20" s="15" t="s">
        <v>6</v>
      </c>
      <c r="Q20" s="15" t="s">
        <v>143</v>
      </c>
    </row>
    <row r="21">
      <c r="A21" s="12">
        <v>46161.0</v>
      </c>
      <c r="B21" s="8">
        <v>1.0</v>
      </c>
      <c r="C21" s="8">
        <v>2.0</v>
      </c>
      <c r="D21" s="7"/>
      <c r="E21" s="8"/>
      <c r="F21" s="8"/>
      <c r="G21" s="8">
        <v>1.0</v>
      </c>
      <c r="H21" s="8">
        <v>2.0</v>
      </c>
      <c r="I21" s="8"/>
      <c r="J21" s="8">
        <v>1.0</v>
      </c>
      <c r="K21" s="8"/>
      <c r="M21" s="13">
        <v>46161.0</v>
      </c>
      <c r="N21" s="14"/>
      <c r="O21" s="3"/>
      <c r="P21" s="15"/>
      <c r="Q21" s="15"/>
    </row>
    <row r="22">
      <c r="A22" s="12">
        <v>46162.0</v>
      </c>
      <c r="B22" s="8"/>
      <c r="C22" s="8">
        <v>2.0</v>
      </c>
      <c r="D22" s="7"/>
      <c r="E22" s="8"/>
      <c r="F22" s="8"/>
      <c r="G22" s="8">
        <v>1.0</v>
      </c>
      <c r="H22" s="8">
        <v>2.0</v>
      </c>
      <c r="I22" s="8"/>
      <c r="J22" s="8">
        <v>1.0</v>
      </c>
      <c r="K22" s="8"/>
      <c r="M22" s="13">
        <v>46162.0</v>
      </c>
      <c r="N22" s="14"/>
      <c r="O22" s="3"/>
      <c r="P22" s="15"/>
      <c r="Q22" s="15"/>
    </row>
    <row r="23">
      <c r="A23" s="12">
        <v>46163.0</v>
      </c>
      <c r="B23" s="8"/>
      <c r="C23" s="8">
        <v>2.0</v>
      </c>
      <c r="D23" s="8"/>
      <c r="E23" s="8"/>
      <c r="F23" s="8"/>
      <c r="G23" s="8">
        <v>1.0</v>
      </c>
      <c r="H23" s="8">
        <v>2.0</v>
      </c>
      <c r="I23" s="8"/>
      <c r="J23" s="8">
        <v>1.0</v>
      </c>
      <c r="K23" s="8"/>
      <c r="M23" s="13">
        <v>46163.0</v>
      </c>
      <c r="N23" s="14"/>
      <c r="O23" s="3"/>
      <c r="P23" s="15"/>
      <c r="Q23" s="15"/>
    </row>
    <row r="24">
      <c r="A24" s="12">
        <v>46164.0</v>
      </c>
      <c r="B24" s="8"/>
      <c r="C24" s="8"/>
      <c r="D24" s="8"/>
      <c r="E24" s="8"/>
      <c r="F24" s="8"/>
      <c r="G24" s="8"/>
      <c r="H24" s="8"/>
      <c r="I24" s="8"/>
      <c r="J24" s="8"/>
      <c r="K24" s="8"/>
      <c r="M24" s="13">
        <v>46164.0</v>
      </c>
      <c r="N24" s="14"/>
      <c r="O24" s="3"/>
      <c r="P24" s="15"/>
      <c r="Q24" s="15"/>
    </row>
    <row r="25">
      <c r="A25" s="12">
        <v>46165.0</v>
      </c>
      <c r="B25" s="8"/>
      <c r="C25" s="8"/>
      <c r="D25" s="8"/>
      <c r="E25" s="8"/>
      <c r="F25" s="8"/>
      <c r="G25" s="8"/>
      <c r="H25" s="8"/>
      <c r="I25" s="8"/>
      <c r="J25" s="8"/>
      <c r="K25" s="8"/>
      <c r="M25" s="13">
        <v>46165.0</v>
      </c>
      <c r="N25" s="14"/>
      <c r="O25" s="3"/>
      <c r="P25" s="15"/>
      <c r="Q25" s="15"/>
    </row>
    <row r="26">
      <c r="A26" s="12">
        <v>46166.0</v>
      </c>
      <c r="B26" s="8"/>
      <c r="C26" s="8"/>
      <c r="D26" s="8"/>
      <c r="E26" s="8"/>
      <c r="F26" s="8"/>
      <c r="G26" s="8"/>
      <c r="H26" s="8"/>
      <c r="I26" s="7"/>
      <c r="J26" s="8"/>
      <c r="K26" s="8"/>
      <c r="M26" s="13">
        <v>46166.0</v>
      </c>
      <c r="N26" s="14"/>
      <c r="O26" s="3"/>
      <c r="P26" s="15"/>
      <c r="Q26" s="15"/>
    </row>
    <row r="27">
      <c r="A27" s="12">
        <v>46167.0</v>
      </c>
      <c r="B27" s="8"/>
      <c r="C27" s="8"/>
      <c r="D27" s="8"/>
      <c r="E27" s="8"/>
      <c r="F27" s="8"/>
      <c r="G27" s="8"/>
      <c r="H27" s="8"/>
      <c r="I27" s="7"/>
      <c r="J27" s="8"/>
      <c r="K27" s="8"/>
      <c r="M27" s="13">
        <v>46167.0</v>
      </c>
      <c r="N27" s="14"/>
      <c r="O27" s="3"/>
      <c r="P27" s="16"/>
      <c r="Q27" s="16"/>
    </row>
    <row r="28">
      <c r="A28" s="12">
        <v>46168.0</v>
      </c>
      <c r="B28" s="8"/>
      <c r="C28" s="8"/>
      <c r="D28" s="8"/>
      <c r="E28" s="8"/>
      <c r="F28" s="8"/>
      <c r="G28" s="8"/>
      <c r="H28" s="8"/>
      <c r="I28" s="7"/>
      <c r="J28" s="8"/>
      <c r="K28" s="8"/>
      <c r="M28" s="13">
        <v>46168.0</v>
      </c>
      <c r="N28" s="14"/>
      <c r="O28" s="3"/>
      <c r="P28" s="15"/>
      <c r="Q28" s="15"/>
    </row>
    <row r="29">
      <c r="A29" s="12">
        <v>46169.0</v>
      </c>
      <c r="B29" s="8"/>
      <c r="C29" s="8"/>
      <c r="D29" s="8"/>
      <c r="E29" s="8"/>
      <c r="F29" s="8"/>
      <c r="G29" s="8"/>
      <c r="H29" s="8"/>
      <c r="I29" s="8"/>
      <c r="J29" s="8"/>
      <c r="K29" s="8"/>
      <c r="M29" s="13">
        <v>46169.0</v>
      </c>
      <c r="N29" s="18"/>
      <c r="O29" s="3"/>
      <c r="P29" s="15"/>
      <c r="Q29" s="16"/>
    </row>
    <row r="30">
      <c r="A30" s="12">
        <v>46170.0</v>
      </c>
      <c r="B30" s="8"/>
      <c r="C30" s="8"/>
      <c r="D30" s="8"/>
      <c r="E30" s="8"/>
      <c r="F30" s="8"/>
      <c r="G30" s="8"/>
      <c r="H30" s="8"/>
      <c r="I30" s="8"/>
      <c r="J30" s="8"/>
      <c r="K30" s="8"/>
      <c r="M30" s="13">
        <v>46170.0</v>
      </c>
      <c r="N30" s="14"/>
      <c r="O30" s="3"/>
      <c r="P30" s="15"/>
      <c r="Q30" s="15"/>
    </row>
    <row r="31">
      <c r="A31" s="12">
        <v>46171.0</v>
      </c>
      <c r="B31" s="8"/>
      <c r="C31" s="8"/>
      <c r="D31" s="8"/>
      <c r="E31" s="8"/>
      <c r="F31" s="8"/>
      <c r="G31" s="8"/>
      <c r="H31" s="8"/>
      <c r="I31" s="8"/>
      <c r="J31" s="8"/>
      <c r="K31" s="8"/>
      <c r="M31" s="13">
        <v>46171.0</v>
      </c>
      <c r="N31" s="18"/>
      <c r="O31" s="3"/>
      <c r="P31" s="15"/>
      <c r="Q31" s="15"/>
    </row>
    <row r="32">
      <c r="A32" s="12">
        <v>46172.0</v>
      </c>
      <c r="B32" s="8"/>
      <c r="C32" s="8"/>
      <c r="D32" s="8"/>
      <c r="E32" s="8"/>
      <c r="F32" s="8"/>
      <c r="G32" s="8"/>
      <c r="H32" s="8"/>
      <c r="I32" s="7"/>
      <c r="J32" s="8"/>
      <c r="K32" s="8"/>
      <c r="M32" s="13">
        <v>46172.0</v>
      </c>
      <c r="N32" s="14"/>
      <c r="O32" s="3"/>
      <c r="P32" s="15"/>
      <c r="Q32" s="15"/>
    </row>
    <row r="33">
      <c r="A33" s="12">
        <v>46173.0</v>
      </c>
      <c r="B33" s="8"/>
      <c r="C33" s="8"/>
      <c r="D33" s="8"/>
      <c r="E33" s="8"/>
      <c r="F33" s="7"/>
      <c r="G33" s="8"/>
      <c r="H33" s="8"/>
      <c r="I33" s="8"/>
      <c r="J33" s="8"/>
      <c r="K33" s="8"/>
      <c r="M33" s="13">
        <v>46173.0</v>
      </c>
      <c r="N33" s="14"/>
      <c r="O33" s="3"/>
      <c r="P33" s="15"/>
      <c r="Q33" s="15"/>
    </row>
    <row r="34">
      <c r="A34" s="5" t="s">
        <v>46</v>
      </c>
      <c r="B34" s="22">
        <f t="shared" ref="B34:K34" si="12">SUM(B2:B33)</f>
        <v>51</v>
      </c>
      <c r="C34" s="22">
        <f t="shared" si="12"/>
        <v>41</v>
      </c>
      <c r="D34" s="22">
        <f t="shared" si="12"/>
        <v>8</v>
      </c>
      <c r="E34" s="22">
        <f t="shared" si="12"/>
        <v>0</v>
      </c>
      <c r="F34" s="22">
        <f t="shared" si="12"/>
        <v>15</v>
      </c>
      <c r="G34" s="22">
        <f t="shared" si="12"/>
        <v>22</v>
      </c>
      <c r="H34" s="22">
        <f t="shared" si="12"/>
        <v>41</v>
      </c>
      <c r="I34" s="22">
        <f t="shared" si="12"/>
        <v>0</v>
      </c>
      <c r="J34" s="22">
        <f t="shared" si="12"/>
        <v>25</v>
      </c>
      <c r="K34" s="22">
        <f t="shared" si="12"/>
        <v>17</v>
      </c>
      <c r="M34" s="9" t="s">
        <v>46</v>
      </c>
      <c r="N34" s="23">
        <f>SUM(N3:N33)</f>
        <v>13071</v>
      </c>
      <c r="O34" s="3"/>
      <c r="P34" s="24" t="s">
        <v>90</v>
      </c>
      <c r="Q34" s="16"/>
    </row>
    <row r="35">
      <c r="A35" s="25">
        <f>SUM(B34:K34)</f>
        <v>220</v>
      </c>
    </row>
    <row r="37">
      <c r="M37" s="26" t="s">
        <v>91</v>
      </c>
      <c r="N37" s="27">
        <f>(T13-N34)+'April 2026'!N37</f>
        <v>0</v>
      </c>
      <c r="P37" s="28" t="s">
        <v>90</v>
      </c>
    </row>
  </sheetData>
  <mergeCells count="46">
    <mergeCell ref="A1:K1"/>
    <mergeCell ref="S1:U1"/>
    <mergeCell ref="W1:Y1"/>
    <mergeCell ref="AA1:AE1"/>
    <mergeCell ref="AG1:AN1"/>
    <mergeCell ref="AP1:AR1"/>
    <mergeCell ref="AT1:AW1"/>
    <mergeCell ref="AG3:AG5"/>
    <mergeCell ref="AG6:AG10"/>
    <mergeCell ref="AN6:AN10"/>
    <mergeCell ref="M1:Q1"/>
    <mergeCell ref="N2:O2"/>
    <mergeCell ref="N3:O3"/>
    <mergeCell ref="AN3:AN5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8:O28"/>
    <mergeCell ref="N29:O29"/>
    <mergeCell ref="N30:O30"/>
    <mergeCell ref="N31:O31"/>
    <mergeCell ref="N32:O32"/>
    <mergeCell ref="N33:O33"/>
    <mergeCell ref="N34:O34"/>
    <mergeCell ref="N37:O37"/>
    <mergeCell ref="N21:O21"/>
    <mergeCell ref="N22:O22"/>
    <mergeCell ref="N23:O23"/>
    <mergeCell ref="N24:O24"/>
    <mergeCell ref="N25:O25"/>
    <mergeCell ref="N26:O26"/>
    <mergeCell ref="N27:O27"/>
  </mergeCells>
  <conditionalFormatting sqref="AE3:AE12">
    <cfRule type="cellIs" dxfId="0" priority="1" operator="greaterThan">
      <formula>0</formula>
    </cfRule>
  </conditionalFormatting>
  <conditionalFormatting sqref="AE3:AE12">
    <cfRule type="cellIs" dxfId="1" priority="2" operator="equal">
      <formula>0</formula>
    </cfRule>
  </conditionalFormatting>
  <conditionalFormatting sqref="AE3:AE12">
    <cfRule type="cellIs" dxfId="2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4.88"/>
    <col customWidth="1" min="17" max="17" width="34.0"/>
    <col customWidth="1" min="24" max="24" width="24.5"/>
    <col customWidth="1" min="39" max="39" width="24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M1" s="4" t="s">
        <v>1</v>
      </c>
      <c r="N1" s="2"/>
      <c r="O1" s="2"/>
      <c r="P1" s="2"/>
      <c r="Q1" s="3"/>
      <c r="S1" s="1" t="s">
        <v>2</v>
      </c>
      <c r="T1" s="2"/>
      <c r="U1" s="3"/>
      <c r="W1" s="4" t="s">
        <v>3</v>
      </c>
      <c r="X1" s="2"/>
      <c r="Y1" s="3"/>
      <c r="AA1" s="1" t="s">
        <v>4</v>
      </c>
      <c r="AB1" s="2"/>
      <c r="AC1" s="2"/>
      <c r="AD1" s="2"/>
      <c r="AE1" s="3"/>
      <c r="AG1" s="1" t="s">
        <v>99</v>
      </c>
      <c r="AH1" s="2"/>
      <c r="AI1" s="2"/>
      <c r="AJ1" s="2"/>
      <c r="AK1" s="2"/>
      <c r="AL1" s="2"/>
      <c r="AM1" s="2"/>
      <c r="AN1" s="3"/>
      <c r="AP1" s="30" t="s">
        <v>100</v>
      </c>
      <c r="AQ1" s="2"/>
      <c r="AR1" s="3"/>
      <c r="AT1" s="1" t="s">
        <v>101</v>
      </c>
      <c r="AU1" s="2"/>
      <c r="AV1" s="2"/>
      <c r="AW1" s="3"/>
    </row>
    <row r="2">
      <c r="A2" s="5" t="s">
        <v>5</v>
      </c>
      <c r="B2" s="6" t="s">
        <v>6</v>
      </c>
      <c r="C2" s="6" t="s">
        <v>7</v>
      </c>
      <c r="D2" s="6" t="s">
        <v>108</v>
      </c>
      <c r="E2" s="6" t="s">
        <v>110</v>
      </c>
      <c r="F2" s="6" t="s">
        <v>10</v>
      </c>
      <c r="G2" s="6" t="s">
        <v>11</v>
      </c>
      <c r="H2" s="6" t="s">
        <v>12</v>
      </c>
      <c r="I2" s="6" t="s">
        <v>15</v>
      </c>
      <c r="J2" s="8" t="s">
        <v>14</v>
      </c>
      <c r="K2" s="8" t="s">
        <v>18</v>
      </c>
      <c r="M2" s="9" t="s">
        <v>5</v>
      </c>
      <c r="N2" s="10" t="s">
        <v>16</v>
      </c>
      <c r="O2" s="3"/>
      <c r="P2" s="9" t="s">
        <v>17</v>
      </c>
      <c r="Q2" s="9" t="s">
        <v>19</v>
      </c>
      <c r="S2" s="5" t="s">
        <v>20</v>
      </c>
      <c r="T2" s="5" t="s">
        <v>16</v>
      </c>
      <c r="U2" s="5" t="s">
        <v>21</v>
      </c>
      <c r="X2" s="11">
        <f>ROUND(N34/A35, 2)</f>
        <v>56.98</v>
      </c>
      <c r="AA2" s="5" t="s">
        <v>20</v>
      </c>
      <c r="AB2" s="5" t="s">
        <v>22</v>
      </c>
      <c r="AC2" s="5" t="s">
        <v>23</v>
      </c>
      <c r="AD2" s="5" t="s">
        <v>24</v>
      </c>
      <c r="AE2" s="5" t="s">
        <v>25</v>
      </c>
      <c r="AG2" s="31" t="s">
        <v>102</v>
      </c>
      <c r="AH2" s="31" t="s">
        <v>103</v>
      </c>
      <c r="AI2" s="31" t="s">
        <v>104</v>
      </c>
      <c r="AJ2" s="31" t="s">
        <v>105</v>
      </c>
      <c r="AK2" s="31" t="s">
        <v>106</v>
      </c>
      <c r="AL2" s="31" t="s">
        <v>107</v>
      </c>
      <c r="AM2" s="31" t="s">
        <v>109</v>
      </c>
      <c r="AN2" s="31" t="s">
        <v>46</v>
      </c>
      <c r="AP2" s="31" t="s">
        <v>20</v>
      </c>
      <c r="AQ2" s="31" t="s">
        <v>16</v>
      </c>
      <c r="AR2" s="31" t="s">
        <v>111</v>
      </c>
      <c r="AT2" s="31" t="s">
        <v>112</v>
      </c>
      <c r="AU2" s="31" t="s">
        <v>113</v>
      </c>
      <c r="AV2" s="31" t="s">
        <v>114</v>
      </c>
      <c r="AW2" s="31" t="s">
        <v>115</v>
      </c>
    </row>
    <row r="3">
      <c r="A3" s="12">
        <v>46174.0</v>
      </c>
      <c r="B3" s="8"/>
      <c r="C3" s="8"/>
      <c r="D3" s="8"/>
      <c r="E3" s="8"/>
      <c r="F3" s="8"/>
      <c r="G3" s="8"/>
      <c r="H3" s="8"/>
      <c r="I3" s="8"/>
      <c r="J3" s="8"/>
      <c r="K3" s="8"/>
      <c r="M3" s="13">
        <v>46174.0</v>
      </c>
      <c r="N3" s="14"/>
      <c r="O3" s="3"/>
      <c r="P3" s="15"/>
      <c r="Q3" s="15"/>
      <c r="S3" s="17" t="s">
        <v>6</v>
      </c>
      <c r="T3" s="8">
        <f>4026-448.9+1650+1560+2000-1540-1100-2600-330</f>
        <v>3217.1</v>
      </c>
      <c r="U3" s="8">
        <v>3000.0</v>
      </c>
      <c r="AA3" s="17" t="s">
        <v>6</v>
      </c>
      <c r="AB3" s="7">
        <f>B34</f>
        <v>53</v>
      </c>
      <c r="AC3" s="7">
        <f>AB3*X2</f>
        <v>3019.94</v>
      </c>
      <c r="AD3" s="7">
        <f t="shared" ref="AD3:AD12" si="1">T3</f>
        <v>3217.1</v>
      </c>
      <c r="AE3" s="7">
        <f>(AD3-AC3)+'May 2026'!AE3</f>
        <v>5982.61</v>
      </c>
      <c r="AG3" s="32" t="s">
        <v>116</v>
      </c>
      <c r="AH3" s="31" t="s">
        <v>6</v>
      </c>
      <c r="AI3" s="8">
        <f>0</f>
        <v>0</v>
      </c>
      <c r="AJ3" s="7"/>
      <c r="AK3" s="7">
        <f>(178-43.344)</f>
        <v>134.656</v>
      </c>
      <c r="AL3" s="7">
        <f>((75*5.26)+((178-SUM(AI4:AI5)-75)*7.2))/3</f>
        <v>274.6744</v>
      </c>
      <c r="AM3" s="8">
        <f t="shared" ref="AM3:AM5" si="2">(AJ3+AL3)+(336+74)/3</f>
        <v>411.3410667</v>
      </c>
      <c r="AN3" s="33">
        <f>SUM(AM3:AM5)</f>
        <v>1546.1</v>
      </c>
      <c r="AP3" s="31" t="s">
        <v>117</v>
      </c>
      <c r="AQ3" s="8">
        <f>5441</f>
        <v>5441</v>
      </c>
      <c r="AR3" s="8">
        <f>2103</f>
        <v>2103</v>
      </c>
      <c r="AT3" s="31" t="s">
        <v>6</v>
      </c>
      <c r="AU3" s="8">
        <f>AM3+(AQ4/8)+(AQ5/3)+(AQ6/8)+(AQ7/8)</f>
        <v>1478.007733</v>
      </c>
      <c r="AV3" s="8">
        <f t="shared" ref="AV3:AV10" si="3">0</f>
        <v>0</v>
      </c>
      <c r="AW3" s="8">
        <f t="shared" ref="AW3:AW10" si="4">AV3-AU3</f>
        <v>-1478.007733</v>
      </c>
    </row>
    <row r="4">
      <c r="A4" s="12">
        <v>46175.0</v>
      </c>
      <c r="B4" s="8"/>
      <c r="C4" s="8"/>
      <c r="D4" s="8"/>
      <c r="E4" s="8"/>
      <c r="F4" s="8"/>
      <c r="G4" s="8"/>
      <c r="H4" s="8"/>
      <c r="I4" s="8"/>
      <c r="J4" s="8"/>
      <c r="K4" s="8"/>
      <c r="M4" s="13">
        <v>46175.0</v>
      </c>
      <c r="N4" s="14">
        <f>3670+356</f>
        <v>4026</v>
      </c>
      <c r="O4" s="3"/>
      <c r="P4" s="15" t="s">
        <v>6</v>
      </c>
      <c r="Q4" s="15" t="s">
        <v>119</v>
      </c>
      <c r="S4" s="17" t="s">
        <v>7</v>
      </c>
      <c r="T4" s="8">
        <f>150+50</f>
        <v>200</v>
      </c>
      <c r="U4" s="8">
        <v>3000.0</v>
      </c>
      <c r="AA4" s="17" t="s">
        <v>7</v>
      </c>
      <c r="AB4" s="7">
        <f>C34</f>
        <v>50</v>
      </c>
      <c r="AC4" s="7">
        <f>AB4*X2</f>
        <v>2849</v>
      </c>
      <c r="AD4" s="7">
        <f t="shared" si="1"/>
        <v>200</v>
      </c>
      <c r="AE4" s="7">
        <f>(AD4-AC4)+'May 2026'!AE4</f>
        <v>-1031.57</v>
      </c>
      <c r="AG4" s="34"/>
      <c r="AH4" s="31" t="s">
        <v>108</v>
      </c>
      <c r="AI4" s="8">
        <f>(1940.66-1798.33)/5</f>
        <v>28.466</v>
      </c>
      <c r="AJ4" s="7">
        <f t="shared" ref="AJ4:AJ5" si="5">AI4*7.2</f>
        <v>204.9552</v>
      </c>
      <c r="AK4" s="7">
        <f t="shared" ref="AK4:AK5" si="6">(178-43.344)/3</f>
        <v>44.88533333</v>
      </c>
      <c r="AL4" s="7">
        <f>((75*5.26)+((178-SUM(AI4:AI5)-75)*7.2))/3</f>
        <v>274.6744</v>
      </c>
      <c r="AM4" s="8">
        <f t="shared" si="2"/>
        <v>616.2962667</v>
      </c>
      <c r="AN4" s="34"/>
      <c r="AP4" s="31" t="s">
        <v>120</v>
      </c>
      <c r="AQ4" s="8">
        <v>6000.0</v>
      </c>
      <c r="AR4" s="8">
        <v>0.0</v>
      </c>
      <c r="AT4" s="31" t="s">
        <v>7</v>
      </c>
      <c r="AU4" s="8">
        <f>AM5+(AQ4/8)+(AQ5/3)+(AQ6/8)+(AQ7/8)</f>
        <v>1585.129333</v>
      </c>
      <c r="AV4" s="8">
        <f t="shared" si="3"/>
        <v>0</v>
      </c>
      <c r="AW4" s="8">
        <f t="shared" si="4"/>
        <v>-1585.129333</v>
      </c>
    </row>
    <row r="5">
      <c r="A5" s="12">
        <v>46176.0</v>
      </c>
      <c r="B5" s="8">
        <v>2.0</v>
      </c>
      <c r="C5" s="8">
        <v>2.0</v>
      </c>
      <c r="D5" s="8"/>
      <c r="E5" s="8"/>
      <c r="F5" s="8"/>
      <c r="G5" s="8">
        <v>2.0</v>
      </c>
      <c r="H5" s="8">
        <v>4.0</v>
      </c>
      <c r="I5" s="8"/>
      <c r="J5" s="8">
        <v>3.0</v>
      </c>
      <c r="K5" s="8"/>
      <c r="M5" s="13">
        <v>46176.0</v>
      </c>
      <c r="N5" s="18">
        <f>200+350</f>
        <v>550</v>
      </c>
      <c r="O5" s="3"/>
      <c r="P5" s="15" t="s">
        <v>122</v>
      </c>
      <c r="Q5" s="15" t="s">
        <v>123</v>
      </c>
      <c r="S5" s="17" t="s">
        <v>108</v>
      </c>
      <c r="T5" s="8">
        <f>448.9+2600</f>
        <v>3048.9</v>
      </c>
      <c r="U5" s="8">
        <v>3000.0</v>
      </c>
      <c r="AA5" s="17" t="s">
        <v>108</v>
      </c>
      <c r="AB5" s="7">
        <f>D34</f>
        <v>46</v>
      </c>
      <c r="AC5" s="7">
        <f>AB5*X2</f>
        <v>2621.08</v>
      </c>
      <c r="AD5" s="7">
        <f t="shared" si="1"/>
        <v>3048.9</v>
      </c>
      <c r="AE5" s="7">
        <f>(AD5-AC5)+'May 2026'!AE5</f>
        <v>-21.08</v>
      </c>
      <c r="AG5" s="21"/>
      <c r="AH5" s="31" t="s">
        <v>7</v>
      </c>
      <c r="AI5" s="7">
        <f>(2019.85-1945.46)/5</f>
        <v>14.878</v>
      </c>
      <c r="AJ5" s="8">
        <f t="shared" si="5"/>
        <v>107.1216</v>
      </c>
      <c r="AK5" s="7">
        <f t="shared" si="6"/>
        <v>44.88533333</v>
      </c>
      <c r="AL5" s="7">
        <f>((75*5.26)+((178-SUM(AI4:AI5)-75)*7.2))/3</f>
        <v>274.6744</v>
      </c>
      <c r="AM5" s="8">
        <f t="shared" si="2"/>
        <v>518.4626667</v>
      </c>
      <c r="AN5" s="21"/>
      <c r="AP5" s="31" t="s">
        <v>124</v>
      </c>
      <c r="AQ5" s="8">
        <v>200.0</v>
      </c>
      <c r="AR5" s="8">
        <v>200.0</v>
      </c>
      <c r="AT5" s="31" t="s">
        <v>13</v>
      </c>
      <c r="AU5" s="8">
        <f>AM4+(AQ4/8)+(AQ5/3)+(AQ6/8)+(AQ7/8)+333</f>
        <v>2015.962933</v>
      </c>
      <c r="AV5" s="8">
        <f t="shared" si="3"/>
        <v>0</v>
      </c>
      <c r="AW5" s="8">
        <f t="shared" si="4"/>
        <v>-2015.962933</v>
      </c>
    </row>
    <row r="6">
      <c r="A6" s="12">
        <v>46177.0</v>
      </c>
      <c r="B6" s="8">
        <v>2.0</v>
      </c>
      <c r="C6" s="8">
        <v>2.0</v>
      </c>
      <c r="D6" s="8"/>
      <c r="E6" s="7"/>
      <c r="F6" s="8"/>
      <c r="G6" s="8">
        <v>2.0</v>
      </c>
      <c r="H6" s="8">
        <v>4.0</v>
      </c>
      <c r="I6" s="8"/>
      <c r="J6" s="8">
        <v>3.0</v>
      </c>
      <c r="K6" s="8"/>
      <c r="M6" s="13">
        <v>46177.0</v>
      </c>
      <c r="N6" s="14">
        <f>1350</f>
        <v>1350</v>
      </c>
      <c r="O6" s="3"/>
      <c r="P6" s="15" t="s">
        <v>11</v>
      </c>
      <c r="Q6" s="15" t="s">
        <v>126</v>
      </c>
      <c r="S6" s="17" t="s">
        <v>110</v>
      </c>
      <c r="T6" s="8">
        <f>1540+1000</f>
        <v>2540</v>
      </c>
      <c r="U6" s="8">
        <v>3000.0</v>
      </c>
      <c r="AA6" s="17" t="s">
        <v>110</v>
      </c>
      <c r="AB6" s="7">
        <f>E34</f>
        <v>27</v>
      </c>
      <c r="AC6" s="7">
        <f>AB6*X2</f>
        <v>1538.46</v>
      </c>
      <c r="AD6" s="7">
        <f t="shared" si="1"/>
        <v>2540</v>
      </c>
      <c r="AE6" s="7">
        <f>(AD6-AC6)+'May 2026'!AE6</f>
        <v>1001.54</v>
      </c>
      <c r="AG6" s="32" t="s">
        <v>125</v>
      </c>
      <c r="AH6" s="31" t="s">
        <v>12</v>
      </c>
      <c r="AI6" s="8">
        <v>0.0</v>
      </c>
      <c r="AJ6" s="8"/>
      <c r="AK6" s="8">
        <f t="shared" ref="AK6:AK10" si="7">113/5</f>
        <v>22.6</v>
      </c>
      <c r="AL6" s="8">
        <f t="shared" ref="AL6:AL10" si="8">211</f>
        <v>211</v>
      </c>
      <c r="AM6" s="8">
        <f t="shared" ref="AM6:AM10" si="9">AJ6+AL6</f>
        <v>211</v>
      </c>
      <c r="AN6" s="33">
        <f>SUM(AM6:AM10)</f>
        <v>1055</v>
      </c>
      <c r="AP6" s="31" t="s">
        <v>127</v>
      </c>
      <c r="AQ6" s="8">
        <v>2000.0</v>
      </c>
      <c r="AR6" s="8">
        <v>0.0</v>
      </c>
      <c r="AT6" s="31" t="s">
        <v>10</v>
      </c>
      <c r="AU6" s="8">
        <f>AM7+(AQ4/8)+(AR5/5)+(AQ6/8)+(AQ7/8)</f>
        <v>1251</v>
      </c>
      <c r="AV6" s="8">
        <f t="shared" si="3"/>
        <v>0</v>
      </c>
      <c r="AW6" s="8">
        <f t="shared" si="4"/>
        <v>-1251</v>
      </c>
    </row>
    <row r="7">
      <c r="A7" s="12">
        <v>46178.0</v>
      </c>
      <c r="B7" s="8">
        <v>2.0</v>
      </c>
      <c r="C7" s="8">
        <v>2.0</v>
      </c>
      <c r="D7" s="8"/>
      <c r="E7" s="8"/>
      <c r="F7" s="8"/>
      <c r="G7" s="8">
        <v>2.0</v>
      </c>
      <c r="H7" s="8">
        <v>4.0</v>
      </c>
      <c r="I7" s="8"/>
      <c r="J7" s="8">
        <v>5.0</v>
      </c>
      <c r="K7" s="8"/>
      <c r="M7" s="13">
        <v>46178.0</v>
      </c>
      <c r="N7" s="14"/>
      <c r="O7" s="3"/>
      <c r="P7" s="15"/>
      <c r="Q7" s="15"/>
      <c r="S7" s="17" t="s">
        <v>10</v>
      </c>
      <c r="T7" s="8">
        <f>690</f>
        <v>690</v>
      </c>
      <c r="U7" s="8">
        <v>3000.0</v>
      </c>
      <c r="AA7" s="17" t="s">
        <v>10</v>
      </c>
      <c r="AB7" s="7">
        <f>F34</f>
        <v>0</v>
      </c>
      <c r="AC7" s="7">
        <f>AB7*X2</f>
        <v>0</v>
      </c>
      <c r="AD7" s="7">
        <f t="shared" si="1"/>
        <v>690</v>
      </c>
      <c r="AE7" s="7">
        <f>(AD7-AC7)+'May 2026'!AE7</f>
        <v>-0.11</v>
      </c>
      <c r="AG7" s="34"/>
      <c r="AH7" s="31" t="s">
        <v>10</v>
      </c>
      <c r="AI7" s="8">
        <v>0.0</v>
      </c>
      <c r="AJ7" s="8"/>
      <c r="AK7" s="8">
        <f t="shared" si="7"/>
        <v>22.6</v>
      </c>
      <c r="AL7" s="8">
        <f t="shared" si="8"/>
        <v>211</v>
      </c>
      <c r="AM7" s="8">
        <f t="shared" si="9"/>
        <v>211</v>
      </c>
      <c r="AN7" s="34"/>
      <c r="AP7" s="31" t="s">
        <v>128</v>
      </c>
      <c r="AQ7" s="8">
        <v>0.0</v>
      </c>
      <c r="AR7" s="8">
        <v>0.0</v>
      </c>
      <c r="AT7" s="31" t="s">
        <v>11</v>
      </c>
      <c r="AU7" s="8">
        <f>AM8+(AQ4/8)+(AR5/5)+(AQ6/8)+(AQ7/8)</f>
        <v>1251</v>
      </c>
      <c r="AV7" s="8">
        <f t="shared" si="3"/>
        <v>0</v>
      </c>
      <c r="AW7" s="8">
        <f t="shared" si="4"/>
        <v>-1251</v>
      </c>
    </row>
    <row r="8">
      <c r="A8" s="12">
        <v>46179.0</v>
      </c>
      <c r="B8" s="8">
        <v>2.0</v>
      </c>
      <c r="C8" s="8">
        <v>2.0</v>
      </c>
      <c r="D8" s="8"/>
      <c r="E8" s="8"/>
      <c r="F8" s="8"/>
      <c r="G8" s="8">
        <v>2.0</v>
      </c>
      <c r="H8" s="8">
        <v>2.0</v>
      </c>
      <c r="I8" s="8"/>
      <c r="J8" s="8">
        <v>4.0</v>
      </c>
      <c r="K8" s="8"/>
      <c r="M8" s="13">
        <v>46179.0</v>
      </c>
      <c r="N8" s="14">
        <f>350+240+430</f>
        <v>1020</v>
      </c>
      <c r="O8" s="3"/>
      <c r="P8" s="15" t="s">
        <v>129</v>
      </c>
      <c r="Q8" s="15" t="s">
        <v>130</v>
      </c>
      <c r="S8" s="17" t="s">
        <v>11</v>
      </c>
      <c r="T8" s="8">
        <f>1559</f>
        <v>1559</v>
      </c>
      <c r="U8" s="8">
        <v>3000.0</v>
      </c>
      <c r="AA8" s="17" t="s">
        <v>11</v>
      </c>
      <c r="AB8" s="7">
        <f>G34</f>
        <v>32</v>
      </c>
      <c r="AC8" s="7">
        <f>AB8*X2</f>
        <v>1823.36</v>
      </c>
      <c r="AD8" s="7">
        <f t="shared" si="1"/>
        <v>1559</v>
      </c>
      <c r="AE8" s="7">
        <f>(AD8-AC8)+'May 2026'!AE8</f>
        <v>168.99</v>
      </c>
      <c r="AG8" s="34"/>
      <c r="AH8" s="31" t="s">
        <v>11</v>
      </c>
      <c r="AI8" s="8">
        <v>0.0</v>
      </c>
      <c r="AJ8" s="8"/>
      <c r="AK8" s="8">
        <f t="shared" si="7"/>
        <v>22.6</v>
      </c>
      <c r="AL8" s="8">
        <f t="shared" si="8"/>
        <v>211</v>
      </c>
      <c r="AM8" s="8">
        <f t="shared" si="9"/>
        <v>211</v>
      </c>
      <c r="AN8" s="34"/>
      <c r="AT8" s="31" t="s">
        <v>12</v>
      </c>
      <c r="AU8" s="8">
        <f>AM6+(AQ4/8)+(AR5/5)+(AQ6/8)+(AQ7/8)</f>
        <v>1251</v>
      </c>
      <c r="AV8" s="8">
        <f t="shared" si="3"/>
        <v>0</v>
      </c>
      <c r="AW8" s="8">
        <f t="shared" si="4"/>
        <v>-1251</v>
      </c>
    </row>
    <row r="9">
      <c r="A9" s="12">
        <v>46180.0</v>
      </c>
      <c r="B9" s="8">
        <v>2.0</v>
      </c>
      <c r="C9" s="8">
        <v>2.0</v>
      </c>
      <c r="D9" s="8">
        <v>2.0</v>
      </c>
      <c r="E9" s="8"/>
      <c r="F9" s="8"/>
      <c r="G9" s="8">
        <v>2.0</v>
      </c>
      <c r="H9" s="8"/>
      <c r="I9" s="8"/>
      <c r="J9" s="8">
        <v>4.0</v>
      </c>
      <c r="K9" s="8"/>
      <c r="M9" s="13">
        <v>46180.0</v>
      </c>
      <c r="N9" s="18"/>
      <c r="O9" s="3"/>
      <c r="P9" s="15"/>
      <c r="Q9" s="15"/>
      <c r="S9" s="17" t="s">
        <v>12</v>
      </c>
      <c r="T9" s="8">
        <f>350+350+240+1000+2000+1000</f>
        <v>4940</v>
      </c>
      <c r="U9" s="8">
        <v>3000.0</v>
      </c>
      <c r="AA9" s="17" t="s">
        <v>12</v>
      </c>
      <c r="AB9" s="7">
        <f>H34</f>
        <v>73</v>
      </c>
      <c r="AC9" s="7">
        <f>AB9*X2</f>
        <v>4159.54</v>
      </c>
      <c r="AD9" s="7">
        <f t="shared" si="1"/>
        <v>4940</v>
      </c>
      <c r="AE9" s="7">
        <f>(AD9-AC9)+'May 2026'!AE9</f>
        <v>-5868.62</v>
      </c>
      <c r="AG9" s="34"/>
      <c r="AH9" s="31" t="s">
        <v>14</v>
      </c>
      <c r="AI9" s="8">
        <v>0.0</v>
      </c>
      <c r="AJ9" s="8"/>
      <c r="AK9" s="8">
        <f t="shared" si="7"/>
        <v>22.6</v>
      </c>
      <c r="AL9" s="8">
        <f t="shared" si="8"/>
        <v>211</v>
      </c>
      <c r="AM9" s="8">
        <f t="shared" si="9"/>
        <v>211</v>
      </c>
      <c r="AN9" s="34"/>
      <c r="AT9" s="31" t="s">
        <v>14</v>
      </c>
      <c r="AU9" s="8">
        <f>AM9+(AQ4/8)+(AR5/5)+(AQ6/8)+(AQ7/8)</f>
        <v>1251</v>
      </c>
      <c r="AV9" s="8">
        <f t="shared" si="3"/>
        <v>0</v>
      </c>
      <c r="AW9" s="8">
        <f t="shared" si="4"/>
        <v>-1251</v>
      </c>
    </row>
    <row r="10">
      <c r="A10" s="12">
        <v>46181.0</v>
      </c>
      <c r="B10" s="8">
        <v>2.0</v>
      </c>
      <c r="C10" s="8">
        <v>2.0</v>
      </c>
      <c r="D10" s="8">
        <v>2.0</v>
      </c>
      <c r="E10" s="8"/>
      <c r="F10" s="8"/>
      <c r="G10" s="8">
        <v>1.0</v>
      </c>
      <c r="H10" s="8"/>
      <c r="I10" s="8"/>
      <c r="J10" s="8">
        <v>4.0</v>
      </c>
      <c r="K10" s="8"/>
      <c r="M10" s="13">
        <v>46181.0</v>
      </c>
      <c r="N10" s="14">
        <f>540+190</f>
        <v>730</v>
      </c>
      <c r="O10" s="3"/>
      <c r="P10" s="15" t="s">
        <v>132</v>
      </c>
      <c r="Q10" s="15" t="s">
        <v>133</v>
      </c>
      <c r="S10" s="17" t="s">
        <v>15</v>
      </c>
      <c r="T10" s="8"/>
      <c r="U10" s="8">
        <v>3000.0</v>
      </c>
      <c r="AA10" s="17"/>
      <c r="AB10" s="7">
        <f>I34</f>
        <v>0</v>
      </c>
      <c r="AC10" s="7">
        <f>AB10*X2</f>
        <v>0</v>
      </c>
      <c r="AD10" s="7" t="str">
        <f t="shared" si="1"/>
        <v/>
      </c>
      <c r="AE10" s="7">
        <f>(AD10-AC10)+'May 2026'!AE10</f>
        <v>0</v>
      </c>
      <c r="AG10" s="21"/>
      <c r="AH10" s="31" t="s">
        <v>18</v>
      </c>
      <c r="AI10" s="8">
        <v>0.0</v>
      </c>
      <c r="AJ10" s="8"/>
      <c r="AK10" s="8">
        <f t="shared" si="7"/>
        <v>22.6</v>
      </c>
      <c r="AL10" s="8">
        <f t="shared" si="8"/>
        <v>211</v>
      </c>
      <c r="AM10" s="8">
        <f t="shared" si="9"/>
        <v>211</v>
      </c>
      <c r="AN10" s="21"/>
      <c r="AT10" s="31" t="s">
        <v>18</v>
      </c>
      <c r="AU10" s="8">
        <f>AM10+(AQ4/8)+(AR5/5)+(AQ6/8)+(AQ7/8)</f>
        <v>1251</v>
      </c>
      <c r="AV10" s="8">
        <f t="shared" si="3"/>
        <v>0</v>
      </c>
      <c r="AW10" s="8">
        <f t="shared" si="4"/>
        <v>-1251</v>
      </c>
    </row>
    <row r="11">
      <c r="A11" s="12">
        <v>46182.0</v>
      </c>
      <c r="B11" s="8">
        <v>2.0</v>
      </c>
      <c r="C11" s="8">
        <v>2.0</v>
      </c>
      <c r="D11" s="8">
        <v>2.0</v>
      </c>
      <c r="E11" s="8"/>
      <c r="F11" s="8"/>
      <c r="G11" s="8">
        <v>1.0</v>
      </c>
      <c r="H11" s="8"/>
      <c r="I11" s="8"/>
      <c r="J11" s="8">
        <v>3.0</v>
      </c>
      <c r="K11" s="8"/>
      <c r="M11" s="13">
        <v>46182.0</v>
      </c>
      <c r="N11" s="14"/>
      <c r="O11" s="3"/>
      <c r="P11" s="15"/>
      <c r="Q11" s="15"/>
      <c r="S11" s="17" t="s">
        <v>14</v>
      </c>
      <c r="T11" s="8">
        <f>1200+150+430+540+190+535+260</f>
        <v>3305</v>
      </c>
      <c r="U11" s="8">
        <v>3000.0</v>
      </c>
      <c r="AA11" s="17" t="s">
        <v>14</v>
      </c>
      <c r="AB11" s="7">
        <f>J34</f>
        <v>63</v>
      </c>
      <c r="AC11" s="7">
        <f>AB11*X2</f>
        <v>3589.74</v>
      </c>
      <c r="AD11" s="7">
        <f t="shared" si="1"/>
        <v>3305</v>
      </c>
      <c r="AE11" s="7">
        <f>(AD11-AC11)+'May 2026'!AE11</f>
        <v>641.96</v>
      </c>
    </row>
    <row r="12">
      <c r="A12" s="12">
        <v>46183.0</v>
      </c>
      <c r="B12" s="8">
        <v>2.0</v>
      </c>
      <c r="C12" s="8">
        <v>2.0</v>
      </c>
      <c r="D12" s="8">
        <v>2.0</v>
      </c>
      <c r="E12" s="8"/>
      <c r="F12" s="8"/>
      <c r="G12" s="8">
        <v>1.0</v>
      </c>
      <c r="H12" s="8">
        <v>2.0</v>
      </c>
      <c r="I12" s="8"/>
      <c r="J12" s="8">
        <v>3.0</v>
      </c>
      <c r="K12" s="8"/>
      <c r="M12" s="13">
        <v>46183.0</v>
      </c>
      <c r="N12" s="14"/>
      <c r="O12" s="3"/>
      <c r="P12" s="15"/>
      <c r="Q12" s="15"/>
      <c r="S12" s="17" t="s">
        <v>18</v>
      </c>
      <c r="T12" s="8">
        <f>1100</f>
        <v>1100</v>
      </c>
      <c r="U12" s="8">
        <v>3000.0</v>
      </c>
      <c r="AA12" s="17" t="s">
        <v>18</v>
      </c>
      <c r="AB12" s="7">
        <f>K34</f>
        <v>0</v>
      </c>
      <c r="AC12" s="7">
        <f>AB12*X2</f>
        <v>0</v>
      </c>
      <c r="AD12" s="7">
        <f t="shared" si="1"/>
        <v>1100</v>
      </c>
      <c r="AE12" s="7">
        <f>(AD12-AC12)+'May 2026'!AE12</f>
        <v>7.45</v>
      </c>
    </row>
    <row r="13">
      <c r="A13" s="12">
        <v>46184.0</v>
      </c>
      <c r="B13" s="8">
        <v>2.0</v>
      </c>
      <c r="C13" s="8">
        <v>2.0</v>
      </c>
      <c r="D13" s="8">
        <v>2.0</v>
      </c>
      <c r="E13" s="8"/>
      <c r="F13" s="8"/>
      <c r="G13" s="8">
        <v>1.0</v>
      </c>
      <c r="H13" s="8">
        <v>4.0</v>
      </c>
      <c r="I13" s="8"/>
      <c r="J13" s="8">
        <v>3.0</v>
      </c>
      <c r="K13" s="8"/>
      <c r="M13" s="13">
        <v>46184.0</v>
      </c>
      <c r="N13" s="14">
        <f>2849</f>
        <v>2849</v>
      </c>
      <c r="O13" s="3"/>
      <c r="P13" s="15" t="s">
        <v>35</v>
      </c>
      <c r="Q13" s="15" t="s">
        <v>135</v>
      </c>
      <c r="S13" s="5" t="s">
        <v>46</v>
      </c>
      <c r="T13" s="7">
        <f t="shared" ref="T13:U13" si="10">SUM(T3:T12)</f>
        <v>20600</v>
      </c>
      <c r="U13" s="7">
        <f t="shared" si="10"/>
        <v>30000</v>
      </c>
      <c r="AA13" s="5" t="s">
        <v>46</v>
      </c>
      <c r="AB13" s="7">
        <f t="shared" ref="AB13:AD13" si="11">SUM(AB3:AB12)</f>
        <v>344</v>
      </c>
      <c r="AC13" s="7">
        <f t="shared" si="11"/>
        <v>19601.12</v>
      </c>
      <c r="AD13" s="7">
        <f t="shared" si="11"/>
        <v>20600</v>
      </c>
      <c r="AE13" s="7">
        <f>CEILING(AD13-AC13, 1)+'May 2026'!AE13</f>
        <v>1001</v>
      </c>
    </row>
    <row r="14">
      <c r="A14" s="12">
        <v>46185.0</v>
      </c>
      <c r="B14" s="8">
        <v>2.0</v>
      </c>
      <c r="C14" s="8">
        <v>2.0</v>
      </c>
      <c r="D14" s="8">
        <v>2.0</v>
      </c>
      <c r="E14" s="8"/>
      <c r="F14" s="8"/>
      <c r="G14" s="8">
        <v>1.0</v>
      </c>
      <c r="H14" s="8">
        <v>4.0</v>
      </c>
      <c r="I14" s="8"/>
      <c r="J14" s="8">
        <v>4.0</v>
      </c>
      <c r="K14" s="8"/>
      <c r="M14" s="13">
        <v>46185.0</v>
      </c>
      <c r="N14" s="18">
        <f>535</f>
        <v>535</v>
      </c>
      <c r="O14" s="3"/>
      <c r="P14" s="15" t="s">
        <v>14</v>
      </c>
      <c r="Q14" s="15" t="s">
        <v>139</v>
      </c>
    </row>
    <row r="15">
      <c r="A15" s="12">
        <v>46186.0</v>
      </c>
      <c r="B15" s="8">
        <v>2.0</v>
      </c>
      <c r="C15" s="8">
        <v>2.0</v>
      </c>
      <c r="D15" s="8">
        <v>2.0</v>
      </c>
      <c r="E15" s="8"/>
      <c r="F15" s="8"/>
      <c r="G15" s="8">
        <v>1.0</v>
      </c>
      <c r="H15" s="8">
        <v>4.0</v>
      </c>
      <c r="I15" s="8"/>
      <c r="J15" s="8">
        <v>2.0</v>
      </c>
      <c r="K15" s="8"/>
      <c r="M15" s="13">
        <v>46186.0</v>
      </c>
      <c r="N15" s="18"/>
      <c r="O15" s="3"/>
      <c r="P15" s="15"/>
      <c r="Q15" s="15"/>
    </row>
    <row r="16">
      <c r="A16" s="12">
        <v>46187.0</v>
      </c>
      <c r="B16" s="8"/>
      <c r="C16" s="8">
        <v>1.0</v>
      </c>
      <c r="D16" s="8">
        <v>1.0</v>
      </c>
      <c r="E16" s="8"/>
      <c r="F16" s="8"/>
      <c r="G16" s="8">
        <v>1.0</v>
      </c>
      <c r="H16" s="8">
        <v>2.0</v>
      </c>
      <c r="I16" s="8"/>
      <c r="J16" s="8">
        <v>1.0</v>
      </c>
      <c r="K16" s="8"/>
      <c r="M16" s="13">
        <v>46187.0</v>
      </c>
      <c r="N16" s="18"/>
      <c r="O16" s="3"/>
      <c r="P16" s="15"/>
      <c r="Q16" s="15"/>
    </row>
    <row r="17">
      <c r="A17" s="12">
        <v>46188.0</v>
      </c>
      <c r="B17" s="8">
        <v>2.0</v>
      </c>
      <c r="C17" s="8">
        <v>2.0</v>
      </c>
      <c r="D17" s="8">
        <v>2.0</v>
      </c>
      <c r="E17" s="8"/>
      <c r="F17" s="8"/>
      <c r="G17" s="8">
        <v>1.0</v>
      </c>
      <c r="H17" s="8">
        <v>4.0</v>
      </c>
      <c r="I17" s="8"/>
      <c r="J17" s="8">
        <v>3.0</v>
      </c>
      <c r="K17" s="8"/>
      <c r="M17" s="13">
        <v>46188.0</v>
      </c>
      <c r="N17" s="14"/>
      <c r="O17" s="3"/>
      <c r="P17" s="15"/>
      <c r="Q17" s="15"/>
    </row>
    <row r="18">
      <c r="A18" s="12">
        <v>46189.0</v>
      </c>
      <c r="B18" s="8">
        <v>2.0</v>
      </c>
      <c r="C18" s="8">
        <v>2.0</v>
      </c>
      <c r="D18" s="8">
        <v>2.0</v>
      </c>
      <c r="E18" s="8"/>
      <c r="F18" s="8"/>
      <c r="G18" s="8">
        <v>1.0</v>
      </c>
      <c r="H18" s="8">
        <v>4.0</v>
      </c>
      <c r="I18" s="8"/>
      <c r="J18" s="8">
        <v>2.0</v>
      </c>
      <c r="K18" s="8"/>
      <c r="M18" s="13">
        <v>46189.0</v>
      </c>
      <c r="N18" s="14"/>
      <c r="O18" s="3"/>
      <c r="P18" s="15"/>
      <c r="Q18" s="15"/>
    </row>
    <row r="19">
      <c r="A19" s="12">
        <v>46190.0</v>
      </c>
      <c r="B19" s="8">
        <v>2.0</v>
      </c>
      <c r="C19" s="8">
        <v>2.0</v>
      </c>
      <c r="D19" s="8">
        <v>2.0</v>
      </c>
      <c r="E19" s="8">
        <v>2.0</v>
      </c>
      <c r="F19" s="8"/>
      <c r="G19" s="8">
        <v>1.0</v>
      </c>
      <c r="H19" s="8">
        <v>4.0</v>
      </c>
      <c r="I19" s="8"/>
      <c r="J19" s="8">
        <v>2.0</v>
      </c>
      <c r="K19" s="8"/>
      <c r="M19" s="13">
        <v>46190.0</v>
      </c>
      <c r="N19" s="14">
        <f>2070</f>
        <v>2070</v>
      </c>
      <c r="O19" s="3"/>
      <c r="P19" s="15" t="s">
        <v>11</v>
      </c>
      <c r="Q19" s="15" t="s">
        <v>144</v>
      </c>
    </row>
    <row r="20">
      <c r="A20" s="12">
        <v>46191.0</v>
      </c>
      <c r="B20" s="8">
        <v>2.0</v>
      </c>
      <c r="C20" s="8">
        <v>2.0</v>
      </c>
      <c r="D20" s="8">
        <v>2.0</v>
      </c>
      <c r="E20" s="8">
        <v>2.0</v>
      </c>
      <c r="F20" s="8"/>
      <c r="G20" s="8">
        <v>1.0</v>
      </c>
      <c r="H20" s="8">
        <v>0.0</v>
      </c>
      <c r="I20" s="8"/>
      <c r="J20" s="8">
        <v>2.0</v>
      </c>
      <c r="K20" s="8"/>
      <c r="M20" s="13">
        <v>46191.0</v>
      </c>
      <c r="N20" s="14"/>
      <c r="O20" s="3"/>
      <c r="P20" s="15"/>
      <c r="Q20" s="15"/>
    </row>
    <row r="21">
      <c r="A21" s="12">
        <v>46192.0</v>
      </c>
      <c r="B21" s="8">
        <v>2.0</v>
      </c>
      <c r="C21" s="8">
        <v>2.0</v>
      </c>
      <c r="D21" s="8">
        <v>2.0</v>
      </c>
      <c r="E21" s="8">
        <v>2.0</v>
      </c>
      <c r="F21" s="8"/>
      <c r="G21" s="8">
        <v>2.0</v>
      </c>
      <c r="H21" s="8">
        <v>2.0</v>
      </c>
      <c r="I21" s="8"/>
      <c r="J21" s="8">
        <v>2.0</v>
      </c>
      <c r="K21" s="8"/>
      <c r="M21" s="13">
        <v>46192.0</v>
      </c>
      <c r="N21" s="14"/>
      <c r="O21" s="3"/>
      <c r="P21" s="15"/>
      <c r="Q21" s="15"/>
    </row>
    <row r="22">
      <c r="A22" s="12">
        <v>46193.0</v>
      </c>
      <c r="B22" s="8">
        <v>2.0</v>
      </c>
      <c r="C22" s="8">
        <v>0.0</v>
      </c>
      <c r="D22" s="8">
        <v>2.0</v>
      </c>
      <c r="E22" s="8">
        <v>2.0</v>
      </c>
      <c r="F22" s="8"/>
      <c r="G22" s="8">
        <v>2.0</v>
      </c>
      <c r="H22" s="8">
        <v>1.0</v>
      </c>
      <c r="I22" s="8"/>
      <c r="J22" s="8">
        <v>2.0</v>
      </c>
      <c r="K22" s="8"/>
      <c r="M22" s="13">
        <v>46193.0</v>
      </c>
      <c r="N22" s="14"/>
      <c r="O22" s="3"/>
      <c r="P22" s="15"/>
      <c r="Q22" s="15"/>
    </row>
    <row r="23">
      <c r="A23" s="12">
        <v>46194.0</v>
      </c>
      <c r="B23" s="8">
        <v>2.0</v>
      </c>
      <c r="C23" s="8">
        <v>0.0</v>
      </c>
      <c r="D23" s="8">
        <v>2.0</v>
      </c>
      <c r="E23" s="8">
        <v>2.0</v>
      </c>
      <c r="F23" s="8"/>
      <c r="G23" s="8">
        <v>1.0</v>
      </c>
      <c r="H23" s="8">
        <v>4.0</v>
      </c>
      <c r="I23" s="8"/>
      <c r="J23" s="8">
        <v>2.0</v>
      </c>
      <c r="K23" s="8"/>
      <c r="M23" s="13">
        <v>46194.0</v>
      </c>
      <c r="N23" s="14">
        <f>2650</f>
        <v>2650</v>
      </c>
      <c r="O23" s="3"/>
      <c r="P23" s="15" t="s">
        <v>6</v>
      </c>
      <c r="Q23" s="15" t="s">
        <v>147</v>
      </c>
    </row>
    <row r="24">
      <c r="A24" s="12">
        <v>46195.0</v>
      </c>
      <c r="B24" s="8">
        <v>2.0</v>
      </c>
      <c r="C24" s="8">
        <v>2.0</v>
      </c>
      <c r="D24" s="8">
        <v>2.0</v>
      </c>
      <c r="E24" s="8">
        <v>2.0</v>
      </c>
      <c r="F24" s="8"/>
      <c r="G24" s="8">
        <v>1.0</v>
      </c>
      <c r="H24" s="8">
        <v>4.0</v>
      </c>
      <c r="I24" s="8"/>
      <c r="J24" s="8">
        <v>2.0</v>
      </c>
      <c r="K24" s="8"/>
      <c r="M24" s="13">
        <v>46195.0</v>
      </c>
      <c r="N24" s="14">
        <f>260</f>
        <v>260</v>
      </c>
      <c r="O24" s="3"/>
      <c r="P24" s="15" t="s">
        <v>149</v>
      </c>
      <c r="Q24" s="15" t="s">
        <v>38</v>
      </c>
    </row>
    <row r="25">
      <c r="A25" s="12">
        <v>46196.0</v>
      </c>
      <c r="B25" s="8">
        <v>2.0</v>
      </c>
      <c r="C25" s="8">
        <v>2.0</v>
      </c>
      <c r="D25" s="8">
        <v>2.0</v>
      </c>
      <c r="E25" s="8">
        <v>2.0</v>
      </c>
      <c r="F25" s="8"/>
      <c r="G25" s="8">
        <v>1.0</v>
      </c>
      <c r="H25" s="8">
        <v>2.0</v>
      </c>
      <c r="I25" s="8"/>
      <c r="J25" s="8">
        <v>2.0</v>
      </c>
      <c r="K25" s="8"/>
      <c r="M25" s="13">
        <v>46196.0</v>
      </c>
      <c r="N25" s="14"/>
      <c r="O25" s="3"/>
      <c r="P25" s="15"/>
      <c r="Q25" s="15"/>
    </row>
    <row r="26">
      <c r="A26" s="12">
        <v>46197.0</v>
      </c>
      <c r="B26" s="8">
        <v>2.0</v>
      </c>
      <c r="C26" s="8">
        <v>2.0</v>
      </c>
      <c r="D26" s="8">
        <v>2.0</v>
      </c>
      <c r="E26" s="8">
        <v>2.0</v>
      </c>
      <c r="F26" s="8"/>
      <c r="G26" s="8">
        <v>1.0</v>
      </c>
      <c r="H26" s="8">
        <v>2.0</v>
      </c>
      <c r="I26" s="7"/>
      <c r="J26" s="8">
        <v>2.0</v>
      </c>
      <c r="K26" s="8"/>
      <c r="M26" s="13">
        <v>46197.0</v>
      </c>
      <c r="N26" s="14"/>
      <c r="O26" s="3"/>
      <c r="P26" s="15"/>
      <c r="Q26" s="15"/>
    </row>
    <row r="27">
      <c r="A27" s="12">
        <v>46198.0</v>
      </c>
      <c r="B27" s="8">
        <v>2.0</v>
      </c>
      <c r="C27" s="8">
        <v>2.0</v>
      </c>
      <c r="D27" s="8">
        <v>2.0</v>
      </c>
      <c r="E27" s="8">
        <v>2.0</v>
      </c>
      <c r="F27" s="8"/>
      <c r="G27" s="8">
        <v>1.0</v>
      </c>
      <c r="H27" s="8">
        <v>4.0</v>
      </c>
      <c r="I27" s="7"/>
      <c r="J27" s="8">
        <v>3.0</v>
      </c>
      <c r="K27" s="8"/>
      <c r="M27" s="13">
        <v>46198.0</v>
      </c>
      <c r="N27" s="14">
        <f>1560</f>
        <v>1560</v>
      </c>
      <c r="O27" s="3"/>
      <c r="P27" s="15" t="s">
        <v>12</v>
      </c>
      <c r="Q27" s="15" t="s">
        <v>153</v>
      </c>
    </row>
    <row r="28">
      <c r="A28" s="12">
        <v>46199.0</v>
      </c>
      <c r="B28" s="8">
        <v>2.0</v>
      </c>
      <c r="C28" s="8">
        <v>2.0</v>
      </c>
      <c r="D28" s="8">
        <v>2.0</v>
      </c>
      <c r="E28" s="8">
        <v>2.0</v>
      </c>
      <c r="F28" s="8"/>
      <c r="G28" s="8"/>
      <c r="H28" s="8">
        <v>2.0</v>
      </c>
      <c r="I28" s="7"/>
      <c r="J28" s="8">
        <v>0.0</v>
      </c>
      <c r="K28" s="8"/>
      <c r="M28" s="13">
        <v>46199.0</v>
      </c>
      <c r="N28" s="14"/>
      <c r="O28" s="3"/>
      <c r="P28" s="15"/>
      <c r="Q28" s="15"/>
    </row>
    <row r="29">
      <c r="A29" s="12">
        <v>46200.0</v>
      </c>
      <c r="B29" s="8">
        <v>2.0</v>
      </c>
      <c r="C29" s="8">
        <v>2.0</v>
      </c>
      <c r="D29" s="8">
        <v>2.0</v>
      </c>
      <c r="E29" s="8">
        <v>2.0</v>
      </c>
      <c r="F29" s="8"/>
      <c r="G29" s="8"/>
      <c r="H29" s="8">
        <v>3.0</v>
      </c>
      <c r="I29" s="8"/>
      <c r="J29" s="8">
        <v>0.0</v>
      </c>
      <c r="K29" s="8"/>
      <c r="M29" s="13">
        <v>46200.0</v>
      </c>
      <c r="N29" s="18"/>
      <c r="O29" s="3"/>
      <c r="P29" s="15"/>
      <c r="Q29" s="16"/>
    </row>
    <row r="30">
      <c r="A30" s="12">
        <v>46201.0</v>
      </c>
      <c r="B30" s="8">
        <v>2.0</v>
      </c>
      <c r="C30" s="8">
        <v>2.0</v>
      </c>
      <c r="D30" s="8">
        <v>2.0</v>
      </c>
      <c r="E30" s="8">
        <v>2.0</v>
      </c>
      <c r="F30" s="8"/>
      <c r="G30" s="8">
        <v>1.0</v>
      </c>
      <c r="H30" s="8">
        <v>2.0</v>
      </c>
      <c r="I30" s="8"/>
      <c r="J30" s="8">
        <v>0.0</v>
      </c>
      <c r="K30" s="8"/>
      <c r="M30" s="13">
        <v>46201.0</v>
      </c>
      <c r="N30" s="14"/>
      <c r="O30" s="3"/>
      <c r="P30" s="15"/>
      <c r="Q30" s="15"/>
    </row>
    <row r="31">
      <c r="A31" s="12">
        <v>46202.0</v>
      </c>
      <c r="B31" s="8">
        <v>1.0</v>
      </c>
      <c r="C31" s="8">
        <v>1.0</v>
      </c>
      <c r="D31" s="8">
        <v>1.0</v>
      </c>
      <c r="E31" s="8">
        <v>1.0</v>
      </c>
      <c r="F31" s="8"/>
      <c r="G31" s="8"/>
      <c r="H31" s="8">
        <v>2.0</v>
      </c>
      <c r="I31" s="8"/>
      <c r="J31" s="8"/>
      <c r="K31" s="8"/>
      <c r="M31" s="13">
        <v>46202.0</v>
      </c>
      <c r="N31" s="18">
        <f>2000</f>
        <v>2000</v>
      </c>
      <c r="O31" s="3"/>
      <c r="P31" s="15" t="s">
        <v>11</v>
      </c>
      <c r="Q31" s="15" t="s">
        <v>155</v>
      </c>
    </row>
    <row r="32">
      <c r="A32" s="12">
        <v>46203.0</v>
      </c>
      <c r="B32" s="8">
        <v>2.0</v>
      </c>
      <c r="C32" s="8">
        <v>2.0</v>
      </c>
      <c r="D32" s="8">
        <v>2.0</v>
      </c>
      <c r="E32" s="8">
        <v>2.0</v>
      </c>
      <c r="F32" s="8"/>
      <c r="G32" s="8">
        <v>1.0</v>
      </c>
      <c r="H32" s="8">
        <v>3.0</v>
      </c>
      <c r="I32" s="7"/>
      <c r="J32" s="8"/>
      <c r="K32" s="8"/>
      <c r="M32" s="13">
        <v>46203.0</v>
      </c>
      <c r="N32" s="14"/>
      <c r="O32" s="3"/>
      <c r="P32" s="15"/>
      <c r="Q32" s="15"/>
    </row>
    <row r="33">
      <c r="A33" s="12">
        <v>46204.0</v>
      </c>
      <c r="B33" s="8"/>
      <c r="C33" s="8"/>
      <c r="D33" s="8"/>
      <c r="E33" s="8"/>
      <c r="F33" s="7"/>
      <c r="G33" s="8"/>
      <c r="H33" s="8"/>
      <c r="I33" s="8"/>
      <c r="J33" s="8"/>
      <c r="K33" s="8"/>
      <c r="M33" s="13">
        <v>46204.0</v>
      </c>
      <c r="N33" s="14"/>
      <c r="O33" s="3"/>
      <c r="P33" s="15"/>
      <c r="Q33" s="15"/>
    </row>
    <row r="34">
      <c r="A34" s="5" t="s">
        <v>46</v>
      </c>
      <c r="B34" s="22">
        <f t="shared" ref="B34:K34" si="12">SUM(B2:B33)</f>
        <v>53</v>
      </c>
      <c r="C34" s="22">
        <f t="shared" si="12"/>
        <v>50</v>
      </c>
      <c r="D34" s="22">
        <f t="shared" si="12"/>
        <v>46</v>
      </c>
      <c r="E34" s="22">
        <f t="shared" si="12"/>
        <v>27</v>
      </c>
      <c r="F34" s="22">
        <f t="shared" si="12"/>
        <v>0</v>
      </c>
      <c r="G34" s="22">
        <f t="shared" si="12"/>
        <v>32</v>
      </c>
      <c r="H34" s="22">
        <f t="shared" si="12"/>
        <v>73</v>
      </c>
      <c r="I34" s="22">
        <f t="shared" si="12"/>
        <v>0</v>
      </c>
      <c r="J34" s="22">
        <f t="shared" si="12"/>
        <v>63</v>
      </c>
      <c r="K34" s="22">
        <f t="shared" si="12"/>
        <v>0</v>
      </c>
      <c r="M34" s="9" t="s">
        <v>46</v>
      </c>
      <c r="N34" s="23">
        <f>SUM(N3:N33)</f>
        <v>19600</v>
      </c>
      <c r="O34" s="3"/>
      <c r="P34" s="24" t="s">
        <v>90</v>
      </c>
      <c r="Q34" s="16"/>
    </row>
    <row r="35">
      <c r="A35" s="25">
        <f>SUM(B34:K34)</f>
        <v>344</v>
      </c>
    </row>
    <row r="37">
      <c r="M37" s="26" t="s">
        <v>91</v>
      </c>
      <c r="N37" s="27">
        <f>(T13-N34)+'May 2026'!N37</f>
        <v>1000</v>
      </c>
      <c r="P37" s="28" t="s">
        <v>90</v>
      </c>
    </row>
  </sheetData>
  <mergeCells count="46">
    <mergeCell ref="A1:K1"/>
    <mergeCell ref="S1:U1"/>
    <mergeCell ref="W1:Y1"/>
    <mergeCell ref="AA1:AE1"/>
    <mergeCell ref="AG1:AN1"/>
    <mergeCell ref="AP1:AR1"/>
    <mergeCell ref="AT1:AW1"/>
    <mergeCell ref="AG3:AG5"/>
    <mergeCell ref="AG6:AG10"/>
    <mergeCell ref="AN6:AN10"/>
    <mergeCell ref="M1:Q1"/>
    <mergeCell ref="N2:O2"/>
    <mergeCell ref="N3:O3"/>
    <mergeCell ref="AN3:AN5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8:O28"/>
    <mergeCell ref="N29:O29"/>
    <mergeCell ref="N30:O30"/>
    <mergeCell ref="N31:O31"/>
    <mergeCell ref="N32:O32"/>
    <mergeCell ref="N33:O33"/>
    <mergeCell ref="N34:O34"/>
    <mergeCell ref="N37:O37"/>
    <mergeCell ref="N21:O21"/>
    <mergeCell ref="N22:O22"/>
    <mergeCell ref="N23:O23"/>
    <mergeCell ref="N24:O24"/>
    <mergeCell ref="N25:O25"/>
    <mergeCell ref="N26:O26"/>
    <mergeCell ref="N27:O27"/>
  </mergeCells>
  <conditionalFormatting sqref="AE3:AE12">
    <cfRule type="cellIs" dxfId="0" priority="1" operator="greaterThan">
      <formula>0</formula>
    </cfRule>
  </conditionalFormatting>
  <conditionalFormatting sqref="AE3:AE12">
    <cfRule type="cellIs" dxfId="1" priority="2" operator="equal">
      <formula>0</formula>
    </cfRule>
  </conditionalFormatting>
  <conditionalFormatting sqref="AE3:AE12">
    <cfRule type="cellIs" dxfId="2" priority="3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4.88"/>
    <col customWidth="1" min="17" max="17" width="34.0"/>
    <col customWidth="1" min="24" max="24" width="24.5"/>
    <col customWidth="1" min="39" max="39" width="24.5"/>
    <col customWidth="1" min="42" max="42" width="23.5"/>
    <col customWidth="1" min="45" max="45" width="20.88"/>
    <col customWidth="1" min="48" max="48" width="22.0"/>
    <col customWidth="1" min="49" max="49" width="1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M1" s="4" t="s">
        <v>1</v>
      </c>
      <c r="N1" s="2"/>
      <c r="O1" s="2"/>
      <c r="P1" s="2"/>
      <c r="Q1" s="3"/>
      <c r="S1" s="1" t="s">
        <v>2</v>
      </c>
      <c r="T1" s="2"/>
      <c r="U1" s="3"/>
      <c r="W1" s="4" t="s">
        <v>3</v>
      </c>
      <c r="X1" s="2"/>
      <c r="Y1" s="3"/>
      <c r="AA1" s="1" t="s">
        <v>4</v>
      </c>
      <c r="AB1" s="2"/>
      <c r="AC1" s="2"/>
      <c r="AD1" s="2"/>
      <c r="AE1" s="3"/>
      <c r="AG1" s="1" t="s">
        <v>99</v>
      </c>
      <c r="AH1" s="2"/>
      <c r="AI1" s="2"/>
      <c r="AJ1" s="2"/>
      <c r="AK1" s="2"/>
      <c r="AL1" s="2"/>
      <c r="AM1" s="2"/>
      <c r="AN1" s="3"/>
      <c r="AP1" s="30" t="s">
        <v>100</v>
      </c>
      <c r="AQ1" s="2"/>
      <c r="AR1" s="3"/>
      <c r="AT1" s="1" t="s">
        <v>101</v>
      </c>
      <c r="AU1" s="2"/>
      <c r="AV1" s="2"/>
      <c r="AW1" s="3"/>
    </row>
    <row r="2">
      <c r="A2" s="5" t="s">
        <v>5</v>
      </c>
      <c r="B2" s="6" t="s">
        <v>6</v>
      </c>
      <c r="C2" s="6" t="s">
        <v>7</v>
      </c>
      <c r="D2" s="6" t="s">
        <v>108</v>
      </c>
      <c r="E2" s="6" t="s">
        <v>110</v>
      </c>
      <c r="F2" s="6" t="s">
        <v>10</v>
      </c>
      <c r="G2" s="6" t="s">
        <v>11</v>
      </c>
      <c r="H2" s="6" t="s">
        <v>12</v>
      </c>
      <c r="I2" s="6" t="s">
        <v>15</v>
      </c>
      <c r="J2" s="8" t="s">
        <v>14</v>
      </c>
      <c r="K2" s="8" t="s">
        <v>18</v>
      </c>
      <c r="M2" s="9" t="s">
        <v>5</v>
      </c>
      <c r="N2" s="10" t="s">
        <v>16</v>
      </c>
      <c r="O2" s="3"/>
      <c r="P2" s="9" t="s">
        <v>17</v>
      </c>
      <c r="Q2" s="9" t="s">
        <v>19</v>
      </c>
      <c r="S2" s="5" t="s">
        <v>20</v>
      </c>
      <c r="T2" s="5" t="s">
        <v>16</v>
      </c>
      <c r="U2" s="5" t="s">
        <v>21</v>
      </c>
      <c r="X2" s="11">
        <f>ROUND(N34/A35, 2)</f>
        <v>53.38</v>
      </c>
      <c r="AA2" s="5" t="s">
        <v>20</v>
      </c>
      <c r="AB2" s="5" t="s">
        <v>22</v>
      </c>
      <c r="AC2" s="5" t="s">
        <v>23</v>
      </c>
      <c r="AD2" s="5" t="s">
        <v>24</v>
      </c>
      <c r="AE2" s="5" t="s">
        <v>25</v>
      </c>
      <c r="AG2" s="31" t="s">
        <v>102</v>
      </c>
      <c r="AH2" s="31" t="s">
        <v>103</v>
      </c>
      <c r="AI2" s="31" t="s">
        <v>104</v>
      </c>
      <c r="AJ2" s="31" t="s">
        <v>105</v>
      </c>
      <c r="AK2" s="31" t="s">
        <v>106</v>
      </c>
      <c r="AL2" s="31" t="s">
        <v>107</v>
      </c>
      <c r="AM2" s="31" t="s">
        <v>109</v>
      </c>
      <c r="AN2" s="31" t="s">
        <v>46</v>
      </c>
      <c r="AP2" s="31" t="s">
        <v>20</v>
      </c>
      <c r="AQ2" s="31" t="s">
        <v>16</v>
      </c>
      <c r="AR2" s="31" t="s">
        <v>111</v>
      </c>
      <c r="AT2" s="31" t="s">
        <v>112</v>
      </c>
      <c r="AU2" s="31" t="s">
        <v>113</v>
      </c>
      <c r="AV2" s="31" t="s">
        <v>114</v>
      </c>
      <c r="AW2" s="31" t="s">
        <v>115</v>
      </c>
    </row>
    <row r="3">
      <c r="A3" s="12">
        <v>46204.0</v>
      </c>
      <c r="B3" s="8">
        <v>2.0</v>
      </c>
      <c r="C3" s="8">
        <v>2.0</v>
      </c>
      <c r="D3" s="8">
        <v>2.0</v>
      </c>
      <c r="E3" s="8">
        <v>2.0</v>
      </c>
      <c r="F3" s="8"/>
      <c r="G3" s="8">
        <v>1.0</v>
      </c>
      <c r="H3" s="8">
        <v>2.0</v>
      </c>
      <c r="I3" s="8"/>
      <c r="J3" s="8"/>
      <c r="K3" s="8"/>
      <c r="M3" s="13">
        <v>46204.0</v>
      </c>
      <c r="N3" s="14">
        <f>3000</f>
        <v>3000</v>
      </c>
      <c r="O3" s="3"/>
      <c r="P3" s="15"/>
      <c r="Q3" s="15"/>
      <c r="S3" s="17" t="s">
        <v>6</v>
      </c>
      <c r="T3" s="8">
        <f>3000+1237+721+1000+1000-3000-2000-5035.8+126.23+65.64+43.02+7.45-104.49</f>
        <v>-2939.95</v>
      </c>
      <c r="U3" s="8">
        <v>3000.0</v>
      </c>
      <c r="AA3" s="17" t="s">
        <v>6</v>
      </c>
      <c r="AB3" s="7">
        <f>B34</f>
        <v>57</v>
      </c>
      <c r="AC3" s="7">
        <f>AB3*X2</f>
        <v>3042.66</v>
      </c>
      <c r="AD3" s="7">
        <f t="shared" ref="AD3:AD12" si="1">T3</f>
        <v>-2939.95</v>
      </c>
      <c r="AE3" s="7">
        <f>(AD3-AC3)+'June 2026'!AE3</f>
        <v>0</v>
      </c>
      <c r="AG3" s="32" t="s">
        <v>116</v>
      </c>
      <c r="AH3" s="31" t="s">
        <v>6</v>
      </c>
      <c r="AI3" s="8">
        <f>0</f>
        <v>0</v>
      </c>
      <c r="AJ3" s="7"/>
      <c r="AK3" s="7">
        <f>(178-43.344)</f>
        <v>134.656</v>
      </c>
      <c r="AL3" s="7">
        <f>((75*5.26)+((178-SUM(AI4:AI5)-75)*7.2))/3</f>
        <v>274.6744</v>
      </c>
      <c r="AM3" s="8">
        <f t="shared" ref="AM3:AM5" si="2">(AJ3+AL3)+(336+74)/3</f>
        <v>411.3410667</v>
      </c>
      <c r="AN3" s="33">
        <f>SUM(AM3:AM5)</f>
        <v>1546.1</v>
      </c>
      <c r="AP3" s="31" t="s">
        <v>117</v>
      </c>
      <c r="AQ3" s="8">
        <f>3455</f>
        <v>3455</v>
      </c>
      <c r="AR3" s="8">
        <f>2571</f>
        <v>2571</v>
      </c>
      <c r="AT3" s="31" t="s">
        <v>6</v>
      </c>
      <c r="AU3" s="8">
        <f>AM3+(AQ4/8)+(AQ5/3)+(AQ6/8)+(AQ7/8)</f>
        <v>1478.007733</v>
      </c>
      <c r="AV3" s="8">
        <f t="shared" ref="AV3:AV10" si="3">0</f>
        <v>0</v>
      </c>
      <c r="AW3" s="8">
        <f t="shared" ref="AW3:AW10" si="4">AV3-AU3</f>
        <v>-1478.007733</v>
      </c>
    </row>
    <row r="4">
      <c r="A4" s="12">
        <v>46205.0</v>
      </c>
      <c r="B4" s="8">
        <v>2.0</v>
      </c>
      <c r="C4" s="8">
        <v>2.0</v>
      </c>
      <c r="D4" s="8">
        <v>2.0</v>
      </c>
      <c r="E4" s="8">
        <v>2.0</v>
      </c>
      <c r="F4" s="8"/>
      <c r="G4" s="8">
        <v>1.0</v>
      </c>
      <c r="H4" s="8">
        <v>2.0</v>
      </c>
      <c r="I4" s="8"/>
      <c r="J4" s="8">
        <v>3.0</v>
      </c>
      <c r="K4" s="8"/>
      <c r="M4" s="13">
        <v>46205.0</v>
      </c>
      <c r="N4" s="14">
        <f>180</f>
        <v>180</v>
      </c>
      <c r="O4" s="3"/>
      <c r="P4" s="15" t="s">
        <v>7</v>
      </c>
      <c r="Q4" s="15" t="s">
        <v>39</v>
      </c>
      <c r="S4" s="17" t="s">
        <v>7</v>
      </c>
      <c r="T4" s="8">
        <f>1000+180+320+280+1000+455+518.95</f>
        <v>3753.95</v>
      </c>
      <c r="U4" s="8">
        <v>3000.0</v>
      </c>
      <c r="AA4" s="17" t="s">
        <v>7</v>
      </c>
      <c r="AB4" s="7">
        <f>C34</f>
        <v>51</v>
      </c>
      <c r="AC4" s="7">
        <f>AB4*X2</f>
        <v>2722.38</v>
      </c>
      <c r="AD4" s="7">
        <f t="shared" si="1"/>
        <v>3753.95</v>
      </c>
      <c r="AE4" s="7">
        <f>(AD4-AC4)+'June 2026'!AE4</f>
        <v>0</v>
      </c>
      <c r="AG4" s="34"/>
      <c r="AH4" s="31" t="s">
        <v>108</v>
      </c>
      <c r="AI4" s="8">
        <f>(1940.66-1798.33)/5</f>
        <v>28.466</v>
      </c>
      <c r="AJ4" s="7">
        <f t="shared" ref="AJ4:AJ5" si="5">AI4*7.2</f>
        <v>204.9552</v>
      </c>
      <c r="AK4" s="7">
        <f t="shared" ref="AK4:AK5" si="6">(178-43.344)/3</f>
        <v>44.88533333</v>
      </c>
      <c r="AL4" s="7">
        <f>((75*5.26)+((178-SUM(AI4:AI5)-75)*7.2))/3</f>
        <v>274.6744</v>
      </c>
      <c r="AM4" s="8">
        <f t="shared" si="2"/>
        <v>616.2962667</v>
      </c>
      <c r="AN4" s="34"/>
      <c r="AP4" s="31" t="s">
        <v>120</v>
      </c>
      <c r="AQ4" s="8">
        <v>6000.0</v>
      </c>
      <c r="AR4" s="8">
        <v>0.0</v>
      </c>
      <c r="AT4" s="31" t="s">
        <v>7</v>
      </c>
      <c r="AU4" s="8">
        <f>AM5+(AQ4/8)+(AQ5/3)+(AQ6/8)+(AQ7/8)</f>
        <v>1585.129333</v>
      </c>
      <c r="AV4" s="8">
        <f t="shared" si="3"/>
        <v>0</v>
      </c>
      <c r="AW4" s="8">
        <f t="shared" si="4"/>
        <v>-1585.129333</v>
      </c>
    </row>
    <row r="5">
      <c r="A5" s="12">
        <v>46206.0</v>
      </c>
      <c r="B5" s="8">
        <v>2.0</v>
      </c>
      <c r="C5" s="8">
        <v>2.0</v>
      </c>
      <c r="D5" s="8">
        <v>2.0</v>
      </c>
      <c r="E5" s="8">
        <v>2.0</v>
      </c>
      <c r="F5" s="8"/>
      <c r="G5" s="8">
        <v>2.0</v>
      </c>
      <c r="H5" s="8">
        <v>0.0</v>
      </c>
      <c r="I5" s="8"/>
      <c r="J5" s="8">
        <v>2.0</v>
      </c>
      <c r="K5" s="8"/>
      <c r="M5" s="13">
        <v>46206.0</v>
      </c>
      <c r="N5" s="18">
        <f>1000</f>
        <v>1000</v>
      </c>
      <c r="O5" s="3"/>
      <c r="P5" s="15" t="s">
        <v>11</v>
      </c>
      <c r="Q5" s="15" t="s">
        <v>54</v>
      </c>
      <c r="S5" s="17" t="s">
        <v>108</v>
      </c>
      <c r="T5" s="8">
        <f>3000-43.02</f>
        <v>2956.98</v>
      </c>
      <c r="U5" s="8">
        <v>3000.0</v>
      </c>
      <c r="AA5" s="17" t="s">
        <v>108</v>
      </c>
      <c r="AB5" s="7">
        <f>D34</f>
        <v>55</v>
      </c>
      <c r="AC5" s="7">
        <f>AB5*X2</f>
        <v>2935.9</v>
      </c>
      <c r="AD5" s="7">
        <f t="shared" si="1"/>
        <v>2956.98</v>
      </c>
      <c r="AE5" s="7">
        <f>(AD5-AC5)+'June 2026'!AE5</f>
        <v>0</v>
      </c>
      <c r="AG5" s="21"/>
      <c r="AH5" s="31" t="s">
        <v>7</v>
      </c>
      <c r="AI5" s="7">
        <f>(2019.85-1945.46)/5</f>
        <v>14.878</v>
      </c>
      <c r="AJ5" s="8">
        <f t="shared" si="5"/>
        <v>107.1216</v>
      </c>
      <c r="AK5" s="7">
        <f t="shared" si="6"/>
        <v>44.88533333</v>
      </c>
      <c r="AL5" s="7">
        <f>((75*5.26)+((178-SUM(AI4:AI5)-75)*7.2))/3</f>
        <v>274.6744</v>
      </c>
      <c r="AM5" s="8">
        <f t="shared" si="2"/>
        <v>518.4626667</v>
      </c>
      <c r="AN5" s="21"/>
      <c r="AP5" s="31" t="s">
        <v>124</v>
      </c>
      <c r="AQ5" s="8">
        <v>200.0</v>
      </c>
      <c r="AR5" s="8">
        <v>200.0</v>
      </c>
      <c r="AT5" s="31" t="s">
        <v>13</v>
      </c>
      <c r="AU5" s="8">
        <f>AM4+(AQ4/8)+(AQ5/3)+(AQ6/8)+(AQ7/8)+333</f>
        <v>2015.962933</v>
      </c>
      <c r="AV5" s="8">
        <f t="shared" si="3"/>
        <v>0</v>
      </c>
      <c r="AW5" s="8">
        <f t="shared" si="4"/>
        <v>-2015.962933</v>
      </c>
    </row>
    <row r="6">
      <c r="A6" s="12">
        <v>46207.0</v>
      </c>
      <c r="B6" s="8">
        <v>2.0</v>
      </c>
      <c r="C6" s="8">
        <v>2.0</v>
      </c>
      <c r="D6" s="8">
        <v>2.0</v>
      </c>
      <c r="E6" s="8">
        <v>2.0</v>
      </c>
      <c r="F6" s="8"/>
      <c r="G6" s="8">
        <v>2.0</v>
      </c>
      <c r="H6" s="8">
        <v>0.0</v>
      </c>
      <c r="I6" s="8"/>
      <c r="J6" s="8">
        <v>2.0</v>
      </c>
      <c r="K6" s="8"/>
      <c r="M6" s="13">
        <v>46207.0</v>
      </c>
      <c r="N6" s="14"/>
      <c r="O6" s="3"/>
      <c r="P6" s="15"/>
      <c r="Q6" s="15"/>
      <c r="S6" s="17" t="s">
        <v>110</v>
      </c>
      <c r="T6" s="8">
        <f>2000-65.64</f>
        <v>1934.36</v>
      </c>
      <c r="U6" s="8">
        <v>3000.0</v>
      </c>
      <c r="AA6" s="17" t="s">
        <v>110</v>
      </c>
      <c r="AB6" s="7">
        <f>E34</f>
        <v>55</v>
      </c>
      <c r="AC6" s="7">
        <f>AB6*X2</f>
        <v>2935.9</v>
      </c>
      <c r="AD6" s="7">
        <f t="shared" si="1"/>
        <v>1934.36</v>
      </c>
      <c r="AE6" s="7">
        <f>(AD6-AC6)+'June 2026'!AE6</f>
        <v>0</v>
      </c>
      <c r="AG6" s="32" t="s">
        <v>125</v>
      </c>
      <c r="AH6" s="31" t="s">
        <v>12</v>
      </c>
      <c r="AI6" s="8">
        <v>0.0</v>
      </c>
      <c r="AJ6" s="8"/>
      <c r="AK6" s="8">
        <f t="shared" ref="AK6:AK10" si="7">113/5</f>
        <v>22.6</v>
      </c>
      <c r="AL6" s="8">
        <f t="shared" ref="AL6:AL10" si="8">211</f>
        <v>211</v>
      </c>
      <c r="AM6" s="8">
        <f t="shared" ref="AM6:AM10" si="9">AJ6+AL6</f>
        <v>211</v>
      </c>
      <c r="AN6" s="33">
        <f>SUM(AM6:AM10)</f>
        <v>1055</v>
      </c>
      <c r="AP6" s="31" t="s">
        <v>127</v>
      </c>
      <c r="AQ6" s="8">
        <v>2000.0</v>
      </c>
      <c r="AR6" s="8">
        <v>0.0</v>
      </c>
      <c r="AT6" s="31" t="s">
        <v>10</v>
      </c>
      <c r="AU6" s="8">
        <f>AM7+(AQ4/8)+(AR5/5)+(AQ6/8)+(AQ7/8)</f>
        <v>1251</v>
      </c>
      <c r="AV6" s="8">
        <f t="shared" si="3"/>
        <v>0</v>
      </c>
      <c r="AW6" s="8">
        <f t="shared" si="4"/>
        <v>-1251</v>
      </c>
    </row>
    <row r="7">
      <c r="A7" s="12">
        <v>46208.0</v>
      </c>
      <c r="B7" s="8">
        <v>1.0</v>
      </c>
      <c r="C7" s="8">
        <v>1.0</v>
      </c>
      <c r="D7" s="8">
        <v>1.0</v>
      </c>
      <c r="E7" s="8">
        <v>1.0</v>
      </c>
      <c r="F7" s="8"/>
      <c r="G7" s="8">
        <v>0.0</v>
      </c>
      <c r="H7" s="8">
        <v>0.0</v>
      </c>
      <c r="I7" s="8"/>
      <c r="J7" s="8">
        <v>1.0</v>
      </c>
      <c r="K7" s="8"/>
      <c r="M7" s="13">
        <v>46208.0</v>
      </c>
      <c r="N7" s="14">
        <f>950</f>
        <v>950</v>
      </c>
      <c r="O7" s="3"/>
      <c r="P7" s="15" t="s">
        <v>6</v>
      </c>
      <c r="Q7" s="15" t="s">
        <v>38</v>
      </c>
      <c r="S7" s="17" t="s">
        <v>10</v>
      </c>
      <c r="T7" s="7">
        <f>500-126.23</f>
        <v>373.77</v>
      </c>
      <c r="U7" s="8">
        <v>3000.0</v>
      </c>
      <c r="AA7" s="17" t="s">
        <v>10</v>
      </c>
      <c r="AB7" s="7">
        <f>F34</f>
        <v>7</v>
      </c>
      <c r="AC7" s="7">
        <f>AB7*X2</f>
        <v>373.66</v>
      </c>
      <c r="AD7" s="7">
        <f t="shared" si="1"/>
        <v>373.77</v>
      </c>
      <c r="AE7" s="7">
        <f>(AD7-AC7)+'June 2026'!AE7</f>
        <v>0</v>
      </c>
      <c r="AG7" s="34"/>
      <c r="AH7" s="31" t="s">
        <v>10</v>
      </c>
      <c r="AI7" s="8">
        <v>0.0</v>
      </c>
      <c r="AJ7" s="8"/>
      <c r="AK7" s="8">
        <f t="shared" si="7"/>
        <v>22.6</v>
      </c>
      <c r="AL7" s="8">
        <f t="shared" si="8"/>
        <v>211</v>
      </c>
      <c r="AM7" s="8">
        <f t="shared" si="9"/>
        <v>211</v>
      </c>
      <c r="AN7" s="34"/>
      <c r="AP7" s="31" t="s">
        <v>128</v>
      </c>
      <c r="AQ7" s="8">
        <v>0.0</v>
      </c>
      <c r="AR7" s="8">
        <v>0.0</v>
      </c>
      <c r="AT7" s="31" t="s">
        <v>11</v>
      </c>
      <c r="AU7" s="8">
        <f>AM8+(AQ4/8)+(AR5/5)+(AQ6/8)+(AQ7/8)</f>
        <v>1251</v>
      </c>
      <c r="AV7" s="8">
        <f t="shared" si="3"/>
        <v>0</v>
      </c>
      <c r="AW7" s="8">
        <f t="shared" si="4"/>
        <v>-1251</v>
      </c>
    </row>
    <row r="8">
      <c r="A8" s="12">
        <v>46209.0</v>
      </c>
      <c r="B8" s="8">
        <v>2.0</v>
      </c>
      <c r="C8" s="8">
        <v>2.0</v>
      </c>
      <c r="D8" s="8">
        <v>2.0</v>
      </c>
      <c r="E8" s="8">
        <v>2.0</v>
      </c>
      <c r="F8" s="8"/>
      <c r="G8" s="8">
        <v>1.0</v>
      </c>
      <c r="H8" s="8">
        <v>0.0</v>
      </c>
      <c r="I8" s="8"/>
      <c r="J8" s="8">
        <v>2.0</v>
      </c>
      <c r="K8" s="8"/>
      <c r="M8" s="13">
        <v>46209.0</v>
      </c>
      <c r="N8" s="14"/>
      <c r="O8" s="3"/>
      <c r="P8" s="15"/>
      <c r="Q8" s="15"/>
      <c r="S8" s="17" t="s">
        <v>11</v>
      </c>
      <c r="T8" s="8">
        <f>883+1000+243.35</f>
        <v>2126.35</v>
      </c>
      <c r="U8" s="8">
        <v>3000.0</v>
      </c>
      <c r="AA8" s="17" t="s">
        <v>11</v>
      </c>
      <c r="AB8" s="7">
        <f>G34</f>
        <v>43</v>
      </c>
      <c r="AC8" s="7">
        <f>AB8*X2</f>
        <v>2295.34</v>
      </c>
      <c r="AD8" s="7">
        <f t="shared" si="1"/>
        <v>2126.35</v>
      </c>
      <c r="AE8" s="7">
        <f>(AD8-AC8)+'June 2026'!AE8</f>
        <v>0</v>
      </c>
      <c r="AG8" s="34"/>
      <c r="AH8" s="31" t="s">
        <v>11</v>
      </c>
      <c r="AI8" s="8">
        <v>0.0</v>
      </c>
      <c r="AJ8" s="8"/>
      <c r="AK8" s="8">
        <f t="shared" si="7"/>
        <v>22.6</v>
      </c>
      <c r="AL8" s="8">
        <f t="shared" si="8"/>
        <v>211</v>
      </c>
      <c r="AM8" s="8">
        <f t="shared" si="9"/>
        <v>211</v>
      </c>
      <c r="AN8" s="34"/>
      <c r="AT8" s="31" t="s">
        <v>12</v>
      </c>
      <c r="AU8" s="8">
        <f>AM6+(AQ4/8)+(AR5/5)+(AQ6/8)+(AQ7/8)</f>
        <v>1251</v>
      </c>
      <c r="AV8" s="8">
        <f t="shared" si="3"/>
        <v>0</v>
      </c>
      <c r="AW8" s="8">
        <f t="shared" si="4"/>
        <v>-1251</v>
      </c>
    </row>
    <row r="9">
      <c r="A9" s="12">
        <v>46210.0</v>
      </c>
      <c r="B9" s="8">
        <v>3.0</v>
      </c>
      <c r="C9" s="8">
        <v>1.0</v>
      </c>
      <c r="D9" s="8">
        <v>2.0</v>
      </c>
      <c r="E9" s="8">
        <v>2.0</v>
      </c>
      <c r="F9" s="8"/>
      <c r="G9" s="8">
        <v>1.0</v>
      </c>
      <c r="H9" s="8">
        <v>0.0</v>
      </c>
      <c r="I9" s="8"/>
      <c r="J9" s="8">
        <v>2.0</v>
      </c>
      <c r="K9" s="8"/>
      <c r="M9" s="13">
        <v>46210.0</v>
      </c>
      <c r="N9" s="18"/>
      <c r="O9" s="3"/>
      <c r="P9" s="15"/>
      <c r="Q9" s="15"/>
      <c r="S9" s="17" t="s">
        <v>12</v>
      </c>
      <c r="T9" s="8">
        <f>640+780+5035.8</f>
        <v>6455.8</v>
      </c>
      <c r="U9" s="8">
        <v>3000.0</v>
      </c>
      <c r="AA9" s="17" t="s">
        <v>12</v>
      </c>
      <c r="AB9" s="7">
        <f>H34</f>
        <v>11</v>
      </c>
      <c r="AC9" s="7">
        <f>AB9*X2</f>
        <v>587.18</v>
      </c>
      <c r="AD9" s="7">
        <f t="shared" si="1"/>
        <v>6455.8</v>
      </c>
      <c r="AE9" s="7">
        <f>(AD9-AC9)+'June 2026'!AE9</f>
        <v>0</v>
      </c>
      <c r="AG9" s="34"/>
      <c r="AH9" s="31" t="s">
        <v>14</v>
      </c>
      <c r="AI9" s="8">
        <v>0.0</v>
      </c>
      <c r="AJ9" s="8"/>
      <c r="AK9" s="8">
        <f t="shared" si="7"/>
        <v>22.6</v>
      </c>
      <c r="AL9" s="8">
        <f t="shared" si="8"/>
        <v>211</v>
      </c>
      <c r="AM9" s="8">
        <f t="shared" si="9"/>
        <v>211</v>
      </c>
      <c r="AN9" s="34"/>
      <c r="AT9" s="31" t="s">
        <v>14</v>
      </c>
      <c r="AU9" s="8">
        <f>AM9+(AQ4/8)+(AR5/5)+(AQ6/8)+(AQ7/8)</f>
        <v>1251</v>
      </c>
      <c r="AV9" s="8">
        <f t="shared" si="3"/>
        <v>0</v>
      </c>
      <c r="AW9" s="8">
        <f t="shared" si="4"/>
        <v>-1251</v>
      </c>
    </row>
    <row r="10">
      <c r="A10" s="12">
        <v>46211.0</v>
      </c>
      <c r="B10" s="8">
        <v>2.0</v>
      </c>
      <c r="C10" s="8">
        <v>2.0</v>
      </c>
      <c r="D10" s="8">
        <v>2.0</v>
      </c>
      <c r="E10" s="8">
        <v>2.0</v>
      </c>
      <c r="F10" s="8"/>
      <c r="G10" s="8">
        <v>1.0</v>
      </c>
      <c r="H10" s="8">
        <v>0.0</v>
      </c>
      <c r="I10" s="8"/>
      <c r="J10" s="8">
        <v>2.0</v>
      </c>
      <c r="K10" s="8"/>
      <c r="M10" s="13">
        <v>46211.0</v>
      </c>
      <c r="N10" s="14"/>
      <c r="O10" s="3"/>
      <c r="P10" s="15"/>
      <c r="Q10" s="15"/>
      <c r="S10" s="17" t="s">
        <v>15</v>
      </c>
      <c r="T10" s="8"/>
      <c r="U10" s="8">
        <v>3000.0</v>
      </c>
      <c r="AA10" s="17"/>
      <c r="AB10" s="7">
        <f>I34</f>
        <v>0</v>
      </c>
      <c r="AC10" s="7">
        <f>AB10*X2</f>
        <v>0</v>
      </c>
      <c r="AD10" s="7" t="str">
        <f t="shared" si="1"/>
        <v/>
      </c>
      <c r="AE10" s="7">
        <f>(AD10-AC10)+'June 2026'!AE10</f>
        <v>0</v>
      </c>
      <c r="AG10" s="21"/>
      <c r="AH10" s="31" t="s">
        <v>18</v>
      </c>
      <c r="AI10" s="8">
        <v>0.0</v>
      </c>
      <c r="AJ10" s="8"/>
      <c r="AK10" s="8">
        <f t="shared" si="7"/>
        <v>22.6</v>
      </c>
      <c r="AL10" s="8">
        <f t="shared" si="8"/>
        <v>211</v>
      </c>
      <c r="AM10" s="8">
        <f t="shared" si="9"/>
        <v>211</v>
      </c>
      <c r="AN10" s="21"/>
      <c r="AO10" s="35" t="s">
        <v>134</v>
      </c>
      <c r="AP10" s="35">
        <v>402.32</v>
      </c>
      <c r="AQ10" s="35">
        <v>770.74</v>
      </c>
      <c r="AT10" s="31" t="s">
        <v>18</v>
      </c>
      <c r="AU10" s="8">
        <f>AM10+(AQ4/8)+(AR5/5)+(AQ6/8)+(AQ7/8)</f>
        <v>1251</v>
      </c>
      <c r="AV10" s="8">
        <f t="shared" si="3"/>
        <v>0</v>
      </c>
      <c r="AW10" s="8">
        <f t="shared" si="4"/>
        <v>-1251</v>
      </c>
    </row>
    <row r="11">
      <c r="A11" s="12">
        <v>46212.0</v>
      </c>
      <c r="B11" s="8">
        <v>2.0</v>
      </c>
      <c r="C11" s="8">
        <v>2.0</v>
      </c>
      <c r="D11" s="8">
        <v>2.0</v>
      </c>
      <c r="E11" s="8">
        <v>2.0</v>
      </c>
      <c r="F11" s="8"/>
      <c r="G11" s="8">
        <v>1.0</v>
      </c>
      <c r="H11" s="8">
        <v>1.0</v>
      </c>
      <c r="I11" s="8"/>
      <c r="J11" s="8">
        <v>2.0</v>
      </c>
      <c r="K11" s="8"/>
      <c r="M11" s="13">
        <v>46212.0</v>
      </c>
      <c r="N11" s="14">
        <f>280</f>
        <v>280</v>
      </c>
      <c r="O11" s="3"/>
      <c r="P11" s="15" t="s">
        <v>7</v>
      </c>
      <c r="Q11" s="15" t="s">
        <v>41</v>
      </c>
      <c r="S11" s="17" t="s">
        <v>14</v>
      </c>
      <c r="T11" s="8">
        <f>1400+510+350+1000</f>
        <v>3260</v>
      </c>
      <c r="U11" s="8">
        <v>3000.0</v>
      </c>
      <c r="AA11" s="17" t="s">
        <v>14</v>
      </c>
      <c r="AB11" s="7">
        <f>J34</f>
        <v>63</v>
      </c>
      <c r="AC11" s="7">
        <f>AB11*X2</f>
        <v>3362.94</v>
      </c>
      <c r="AD11" s="7">
        <f t="shared" si="1"/>
        <v>3260</v>
      </c>
      <c r="AE11" s="7">
        <f>(AD11-AC11)+'June 2026'!AE11</f>
        <v>539.02</v>
      </c>
      <c r="AO11" s="35" t="s">
        <v>136</v>
      </c>
      <c r="AP11" s="35">
        <v>666.67</v>
      </c>
    </row>
    <row r="12">
      <c r="A12" s="12">
        <v>46213.0</v>
      </c>
      <c r="B12" s="8">
        <v>2.0</v>
      </c>
      <c r="C12" s="8">
        <v>2.0</v>
      </c>
      <c r="D12" s="8">
        <v>1.0</v>
      </c>
      <c r="E12" s="8">
        <v>1.0</v>
      </c>
      <c r="F12" s="8"/>
      <c r="G12" s="8">
        <v>2.0</v>
      </c>
      <c r="H12" s="8"/>
      <c r="I12" s="8"/>
      <c r="J12" s="8">
        <v>2.0</v>
      </c>
      <c r="K12" s="8"/>
      <c r="M12" s="13">
        <v>46213.0</v>
      </c>
      <c r="N12" s="14">
        <f>1500+1000</f>
        <v>2500</v>
      </c>
      <c r="O12" s="3"/>
      <c r="P12" s="15" t="s">
        <v>137</v>
      </c>
      <c r="Q12" s="15" t="s">
        <v>138</v>
      </c>
      <c r="S12" s="17" t="s">
        <v>18</v>
      </c>
      <c r="T12" s="8">
        <f>-7.45</f>
        <v>-7.45</v>
      </c>
      <c r="U12" s="8">
        <v>3000.0</v>
      </c>
      <c r="AA12" s="17" t="s">
        <v>18</v>
      </c>
      <c r="AB12" s="7">
        <f>K34</f>
        <v>0</v>
      </c>
      <c r="AC12" s="7">
        <f>AB12*X2</f>
        <v>0</v>
      </c>
      <c r="AD12" s="7">
        <f t="shared" si="1"/>
        <v>-7.45</v>
      </c>
      <c r="AE12" s="7">
        <f>(AD12-AC12)+'June 2026'!AE12</f>
        <v>0</v>
      </c>
      <c r="AO12" s="35" t="s">
        <v>140</v>
      </c>
      <c r="AP12" s="35">
        <v>222.22</v>
      </c>
    </row>
    <row r="13">
      <c r="A13" s="12">
        <v>46214.0</v>
      </c>
      <c r="B13" s="8">
        <v>2.0</v>
      </c>
      <c r="C13" s="8">
        <v>2.0</v>
      </c>
      <c r="D13" s="8">
        <v>2.0</v>
      </c>
      <c r="E13" s="8">
        <v>2.0</v>
      </c>
      <c r="F13" s="8"/>
      <c r="G13" s="8">
        <v>2.0</v>
      </c>
      <c r="H13" s="8">
        <v>2.0</v>
      </c>
      <c r="I13" s="8"/>
      <c r="J13" s="8">
        <v>2.0</v>
      </c>
      <c r="K13" s="8"/>
      <c r="M13" s="13">
        <v>46214.0</v>
      </c>
      <c r="N13" s="18">
        <f>390</f>
        <v>390</v>
      </c>
      <c r="O13" s="3"/>
      <c r="P13" s="15" t="s">
        <v>11</v>
      </c>
      <c r="Q13" s="15" t="s">
        <v>54</v>
      </c>
      <c r="S13" s="5" t="s">
        <v>46</v>
      </c>
      <c r="T13" s="7">
        <f t="shared" ref="T13:U13" si="10">SUM(T3:T12)</f>
        <v>17913.81</v>
      </c>
      <c r="U13" s="7">
        <f t="shared" si="10"/>
        <v>30000</v>
      </c>
      <c r="AA13" s="5" t="s">
        <v>46</v>
      </c>
      <c r="AB13" s="7">
        <f t="shared" ref="AB13:AD13" si="11">SUM(AB3:AB12)</f>
        <v>342</v>
      </c>
      <c r="AC13" s="7">
        <f t="shared" si="11"/>
        <v>18255.96</v>
      </c>
      <c r="AD13" s="7">
        <f t="shared" si="11"/>
        <v>17913.81</v>
      </c>
      <c r="AE13" s="7">
        <f>CEILING(AD13-AC13, 1)+'June 2026'!AE13</f>
        <v>659</v>
      </c>
    </row>
    <row r="14">
      <c r="A14" s="12">
        <v>46215.0</v>
      </c>
      <c r="B14" s="8">
        <v>2.0</v>
      </c>
      <c r="C14" s="8">
        <v>2.0</v>
      </c>
      <c r="D14" s="8">
        <v>2.0</v>
      </c>
      <c r="E14" s="8">
        <v>2.0</v>
      </c>
      <c r="F14" s="8"/>
      <c r="G14" s="8">
        <v>1.0</v>
      </c>
      <c r="H14" s="8"/>
      <c r="I14" s="8"/>
      <c r="J14" s="8">
        <v>2.0</v>
      </c>
      <c r="K14" s="8"/>
      <c r="M14" s="13">
        <v>46215.0</v>
      </c>
      <c r="N14" s="18"/>
      <c r="O14" s="3"/>
      <c r="P14" s="15"/>
      <c r="Q14" s="15"/>
    </row>
    <row r="15">
      <c r="A15" s="12">
        <v>46216.0</v>
      </c>
      <c r="B15" s="8">
        <v>2.0</v>
      </c>
      <c r="C15" s="8">
        <v>2.0</v>
      </c>
      <c r="D15" s="8">
        <v>2.0</v>
      </c>
      <c r="E15" s="8">
        <v>2.0</v>
      </c>
      <c r="F15" s="8"/>
      <c r="G15" s="8">
        <v>1.0</v>
      </c>
      <c r="H15" s="8"/>
      <c r="I15" s="8"/>
      <c r="J15" s="8">
        <v>2.0</v>
      </c>
      <c r="K15" s="8"/>
      <c r="M15" s="13">
        <v>46216.0</v>
      </c>
      <c r="N15" s="18"/>
      <c r="O15" s="3"/>
      <c r="P15" s="15"/>
      <c r="Q15" s="15"/>
    </row>
    <row r="16">
      <c r="A16" s="12">
        <v>46217.0</v>
      </c>
      <c r="B16" s="8">
        <v>1.0</v>
      </c>
      <c r="C16" s="8">
        <v>1.0</v>
      </c>
      <c r="D16" s="8">
        <v>1.0</v>
      </c>
      <c r="E16" s="8">
        <v>1.0</v>
      </c>
      <c r="F16" s="8"/>
      <c r="G16" s="8">
        <v>1.0</v>
      </c>
      <c r="H16" s="8">
        <v>1.0</v>
      </c>
      <c r="I16" s="8"/>
      <c r="J16" s="8">
        <v>1.0</v>
      </c>
      <c r="K16" s="8"/>
      <c r="M16" s="13">
        <v>46217.0</v>
      </c>
      <c r="N16" s="18">
        <f>640</f>
        <v>640</v>
      </c>
      <c r="O16" s="3"/>
      <c r="P16" s="15" t="s">
        <v>12</v>
      </c>
      <c r="Q16" s="15" t="s">
        <v>38</v>
      </c>
      <c r="AH16" s="35">
        <v>1845.61</v>
      </c>
      <c r="AM16" s="35">
        <v>2169.91</v>
      </c>
    </row>
    <row r="17">
      <c r="A17" s="12">
        <v>46218.0</v>
      </c>
      <c r="B17" s="8">
        <v>2.0</v>
      </c>
      <c r="C17" s="8">
        <v>2.0</v>
      </c>
      <c r="D17" s="8">
        <v>2.0</v>
      </c>
      <c r="E17" s="8">
        <v>2.0</v>
      </c>
      <c r="F17" s="8"/>
      <c r="G17" s="8">
        <v>1.0</v>
      </c>
      <c r="H17" s="8"/>
      <c r="I17" s="8"/>
      <c r="J17" s="8">
        <v>2.0</v>
      </c>
      <c r="K17" s="8"/>
      <c r="M17" s="13">
        <v>46218.0</v>
      </c>
      <c r="N17" s="18">
        <v>2000.0</v>
      </c>
      <c r="O17" s="3"/>
      <c r="P17" s="15" t="s">
        <v>11</v>
      </c>
      <c r="Q17" s="15" t="s">
        <v>145</v>
      </c>
      <c r="AH17" s="35">
        <f>1918.94</f>
        <v>1918.94</v>
      </c>
      <c r="AM17" s="35">
        <v>2348.24</v>
      </c>
    </row>
    <row r="18">
      <c r="A18" s="12">
        <v>46219.0</v>
      </c>
      <c r="B18" s="8">
        <v>2.0</v>
      </c>
      <c r="C18" s="8">
        <v>2.0</v>
      </c>
      <c r="D18" s="8">
        <v>2.0</v>
      </c>
      <c r="E18" s="8">
        <v>2.0</v>
      </c>
      <c r="F18" s="8"/>
      <c r="G18" s="8">
        <v>1.0</v>
      </c>
      <c r="H18" s="8"/>
      <c r="I18" s="8"/>
      <c r="J18" s="8">
        <v>2.0</v>
      </c>
      <c r="K18" s="8"/>
      <c r="M18" s="13">
        <v>46219.0</v>
      </c>
      <c r="N18" s="14"/>
      <c r="O18" s="3"/>
      <c r="P18" s="15"/>
      <c r="Q18" s="15"/>
      <c r="AH18" s="36">
        <f>AH17-AH16</f>
        <v>73.33</v>
      </c>
      <c r="AK18" s="35" t="s">
        <v>146</v>
      </c>
      <c r="AL18" s="36">
        <f>AJ19+AJ20</f>
        <v>959.45976</v>
      </c>
      <c r="AM18" s="36">
        <f>AM17-AM16</f>
        <v>178.33</v>
      </c>
      <c r="AP18" s="35" t="s">
        <v>148</v>
      </c>
      <c r="AQ18" s="36">
        <f>AO19+AO20</f>
        <v>1892.5895</v>
      </c>
    </row>
    <row r="19">
      <c r="A19" s="12">
        <v>46220.0</v>
      </c>
      <c r="B19" s="8">
        <v>2.0</v>
      </c>
      <c r="C19" s="8">
        <v>2.0</v>
      </c>
      <c r="D19" s="8">
        <v>2.0</v>
      </c>
      <c r="E19" s="8">
        <v>2.0</v>
      </c>
      <c r="F19" s="8"/>
      <c r="G19" s="8">
        <v>2.0</v>
      </c>
      <c r="H19" s="8"/>
      <c r="I19" s="8"/>
      <c r="J19" s="8">
        <v>2.0</v>
      </c>
      <c r="K19" s="8"/>
      <c r="M19" s="13">
        <v>46220.0</v>
      </c>
      <c r="N19" s="14">
        <f>510</f>
        <v>510</v>
      </c>
      <c r="O19" s="3"/>
      <c r="P19" s="15" t="s">
        <v>14</v>
      </c>
      <c r="Q19" s="15" t="s">
        <v>150</v>
      </c>
      <c r="AI19" s="35" t="s">
        <v>12</v>
      </c>
      <c r="AJ19" s="35">
        <f>AH18*7.59</f>
        <v>556.5747</v>
      </c>
      <c r="AN19" s="35" t="s">
        <v>7</v>
      </c>
      <c r="AO19" s="36">
        <f>(60*8.02)+(99*7.59)+(19.33*7.2)</f>
        <v>1371.786</v>
      </c>
    </row>
    <row r="20">
      <c r="A20" s="12">
        <v>46221.0</v>
      </c>
      <c r="B20" s="8">
        <v>2.0</v>
      </c>
      <c r="C20" s="8">
        <v>2.0</v>
      </c>
      <c r="D20" s="8">
        <v>2.0</v>
      </c>
      <c r="E20" s="8">
        <v>2.0</v>
      </c>
      <c r="F20" s="8"/>
      <c r="G20" s="8">
        <v>2.0</v>
      </c>
      <c r="H20" s="8"/>
      <c r="I20" s="8"/>
      <c r="J20" s="8">
        <v>4.0</v>
      </c>
      <c r="K20" s="8"/>
      <c r="M20" s="13">
        <v>46221.0</v>
      </c>
      <c r="N20" s="18">
        <v>1721.0</v>
      </c>
      <c r="O20" s="3"/>
      <c r="P20" s="15" t="s">
        <v>6</v>
      </c>
      <c r="Q20" s="15" t="s">
        <v>151</v>
      </c>
      <c r="AI20" s="35" t="s">
        <v>152</v>
      </c>
      <c r="AJ20" s="35">
        <f>(AR3-AJ19)/5</f>
        <v>402.88506</v>
      </c>
      <c r="AN20" s="35" t="s">
        <v>152</v>
      </c>
      <c r="AO20" s="36">
        <f>(AQ3-AO19)/4</f>
        <v>520.8035</v>
      </c>
    </row>
    <row r="21">
      <c r="A21" s="12">
        <v>46222.0</v>
      </c>
      <c r="B21" s="8">
        <v>2.0</v>
      </c>
      <c r="C21" s="8">
        <v>2.0</v>
      </c>
      <c r="D21" s="8">
        <v>2.0</v>
      </c>
      <c r="E21" s="8">
        <v>2.0</v>
      </c>
      <c r="F21" s="8"/>
      <c r="G21" s="8">
        <v>1.0</v>
      </c>
      <c r="H21" s="8">
        <v>1.0</v>
      </c>
      <c r="I21" s="8"/>
      <c r="J21" s="8">
        <v>2.0</v>
      </c>
      <c r="K21" s="8"/>
      <c r="M21" s="13">
        <v>46222.0</v>
      </c>
      <c r="N21" s="14"/>
      <c r="O21" s="3"/>
      <c r="P21" s="15"/>
      <c r="Q21" s="15"/>
    </row>
    <row r="22">
      <c r="A22" s="12">
        <v>46223.0</v>
      </c>
      <c r="B22" s="8">
        <v>2.0</v>
      </c>
      <c r="C22" s="8">
        <v>2.0</v>
      </c>
      <c r="D22" s="8">
        <v>2.0</v>
      </c>
      <c r="E22" s="8">
        <v>2.0</v>
      </c>
      <c r="F22" s="8"/>
      <c r="G22" s="8">
        <v>2.0</v>
      </c>
      <c r="H22" s="8"/>
      <c r="I22" s="8"/>
      <c r="J22" s="8">
        <v>4.0</v>
      </c>
      <c r="K22" s="8"/>
      <c r="M22" s="13">
        <v>46223.0</v>
      </c>
      <c r="N22" s="14">
        <f>455</f>
        <v>455</v>
      </c>
      <c r="O22" s="3"/>
      <c r="P22" s="15" t="s">
        <v>7</v>
      </c>
      <c r="Q22" s="15" t="s">
        <v>154</v>
      </c>
    </row>
    <row r="23">
      <c r="A23" s="12">
        <v>46224.0</v>
      </c>
      <c r="B23" s="8">
        <v>2.0</v>
      </c>
      <c r="C23" s="8">
        <v>2.0</v>
      </c>
      <c r="D23" s="8">
        <v>2.0</v>
      </c>
      <c r="E23" s="8">
        <v>2.0</v>
      </c>
      <c r="F23" s="8"/>
      <c r="G23" s="8">
        <v>2.0</v>
      </c>
      <c r="H23" s="8"/>
      <c r="I23" s="8"/>
      <c r="J23" s="8">
        <v>4.0</v>
      </c>
      <c r="K23" s="8"/>
      <c r="M23" s="13">
        <v>46224.0</v>
      </c>
      <c r="N23" s="14">
        <f>350</f>
        <v>350</v>
      </c>
      <c r="O23" s="3"/>
      <c r="P23" s="15" t="s">
        <v>14</v>
      </c>
      <c r="Q23" s="15" t="s">
        <v>38</v>
      </c>
    </row>
    <row r="24">
      <c r="A24" s="12">
        <v>46225.0</v>
      </c>
      <c r="B24" s="8">
        <v>2.0</v>
      </c>
      <c r="C24" s="8">
        <v>2.0</v>
      </c>
      <c r="D24" s="8">
        <v>2.0</v>
      </c>
      <c r="E24" s="8">
        <v>2.0</v>
      </c>
      <c r="F24" s="8"/>
      <c r="G24" s="8">
        <v>2.0</v>
      </c>
      <c r="H24" s="8"/>
      <c r="I24" s="8"/>
      <c r="J24" s="8">
        <v>4.0</v>
      </c>
      <c r="K24" s="8"/>
      <c r="M24" s="13">
        <v>46225.0</v>
      </c>
      <c r="N24" s="14"/>
      <c r="O24" s="3"/>
      <c r="P24" s="15"/>
      <c r="Q24" s="15"/>
      <c r="AK24" s="37"/>
      <c r="AL24" s="38" t="s">
        <v>156</v>
      </c>
      <c r="AM24" s="37"/>
      <c r="AN24" s="37"/>
      <c r="AP24" s="37"/>
      <c r="AQ24" s="37"/>
      <c r="AR24" s="39" t="s">
        <v>157</v>
      </c>
      <c r="AS24" s="39" t="s">
        <v>158</v>
      </c>
      <c r="AT24" s="39" t="s">
        <v>159</v>
      </c>
      <c r="AU24" s="39" t="s">
        <v>128</v>
      </c>
      <c r="AV24" s="39" t="s">
        <v>160</v>
      </c>
    </row>
    <row r="25">
      <c r="A25" s="12">
        <v>46226.0</v>
      </c>
      <c r="B25" s="8">
        <v>2.0</v>
      </c>
      <c r="C25" s="8">
        <v>2.0</v>
      </c>
      <c r="D25" s="8">
        <v>2.0</v>
      </c>
      <c r="E25" s="8">
        <v>2.0</v>
      </c>
      <c r="F25" s="8"/>
      <c r="G25" s="8">
        <v>1.0</v>
      </c>
      <c r="H25" s="8"/>
      <c r="I25" s="8"/>
      <c r="J25" s="8">
        <v>2.0</v>
      </c>
      <c r="K25" s="8"/>
      <c r="M25" s="13">
        <v>46226.0</v>
      </c>
      <c r="N25" s="14"/>
      <c r="O25" s="3"/>
      <c r="P25" s="15"/>
      <c r="Q25" s="15"/>
      <c r="AK25" s="38" t="s">
        <v>161</v>
      </c>
      <c r="AL25" s="37">
        <f>1500/4</f>
        <v>375</v>
      </c>
      <c r="AM25" s="38" t="s">
        <v>6</v>
      </c>
      <c r="AN25" s="37">
        <f>AL25+AL26+AL27</f>
        <v>736.1111111</v>
      </c>
      <c r="AP25" s="37"/>
      <c r="AQ25" s="37"/>
      <c r="AR25" s="37">
        <f>15000</f>
        <v>15000</v>
      </c>
      <c r="AS25" s="37">
        <f>6000</f>
        <v>6000</v>
      </c>
      <c r="AT25" s="37">
        <f>2000</f>
        <v>2000</v>
      </c>
      <c r="AU25" s="37">
        <f>4000</f>
        <v>4000</v>
      </c>
      <c r="AV25" s="37"/>
    </row>
    <row r="26">
      <c r="A26" s="12">
        <v>46227.0</v>
      </c>
      <c r="B26" s="8">
        <v>2.0</v>
      </c>
      <c r="C26" s="8">
        <v>2.0</v>
      </c>
      <c r="D26" s="8">
        <v>2.0</v>
      </c>
      <c r="E26" s="8">
        <v>2.0</v>
      </c>
      <c r="F26" s="8"/>
      <c r="G26" s="8">
        <v>2.0</v>
      </c>
      <c r="H26" s="8"/>
      <c r="I26" s="7"/>
      <c r="J26" s="8">
        <v>2.0</v>
      </c>
      <c r="K26" s="8"/>
      <c r="M26" s="13">
        <v>46227.0</v>
      </c>
      <c r="N26" s="14">
        <f>780</f>
        <v>780</v>
      </c>
      <c r="O26" s="3"/>
      <c r="P26" s="15" t="s">
        <v>12</v>
      </c>
      <c r="Q26" s="15" t="s">
        <v>38</v>
      </c>
      <c r="AK26" s="38" t="s">
        <v>162</v>
      </c>
      <c r="AL26" s="37">
        <f>1500/6</f>
        <v>250</v>
      </c>
      <c r="AM26" s="38" t="s">
        <v>11</v>
      </c>
      <c r="AN26" s="37">
        <f>AL25+AL26+AL27</f>
        <v>736.1111111</v>
      </c>
      <c r="AP26" s="40" t="s">
        <v>163</v>
      </c>
      <c r="AQ26" s="41" t="s">
        <v>152</v>
      </c>
      <c r="AR26" s="37">
        <f>AR25/7</f>
        <v>2142.857143</v>
      </c>
      <c r="AS26" s="37">
        <f>AS25/8</f>
        <v>750</v>
      </c>
      <c r="AT26" s="37">
        <f>AT25/6</f>
        <v>333.3333333</v>
      </c>
      <c r="AU26" s="37">
        <f>AN25</f>
        <v>736.1111111</v>
      </c>
      <c r="AV26" s="37">
        <f>SUM(AL26,AN26,AR26,AS26,AT26,AU26)</f>
        <v>4948.412698</v>
      </c>
    </row>
    <row r="27">
      <c r="A27" s="12">
        <v>46228.0</v>
      </c>
      <c r="B27" s="8">
        <v>2.0</v>
      </c>
      <c r="C27" s="8">
        <v>0.0</v>
      </c>
      <c r="D27" s="8">
        <v>2.0</v>
      </c>
      <c r="E27" s="8">
        <v>2.0</v>
      </c>
      <c r="F27" s="8"/>
      <c r="G27" s="8">
        <v>2.0</v>
      </c>
      <c r="H27" s="8"/>
      <c r="I27" s="7"/>
      <c r="J27" s="8">
        <v>2.0</v>
      </c>
      <c r="K27" s="8"/>
      <c r="M27" s="13">
        <v>46228.0</v>
      </c>
      <c r="N27" s="14"/>
      <c r="O27" s="3"/>
      <c r="P27" s="15"/>
      <c r="Q27" s="15"/>
      <c r="AK27" s="38" t="s">
        <v>164</v>
      </c>
      <c r="AL27" s="37">
        <f>1000/9</f>
        <v>111.1111111</v>
      </c>
      <c r="AM27" s="38" t="s">
        <v>7</v>
      </c>
      <c r="AN27" s="37">
        <f>AL25+AL26+AL27</f>
        <v>736.1111111</v>
      </c>
      <c r="AP27" s="40" t="s">
        <v>12</v>
      </c>
      <c r="AQ27" s="41" t="s">
        <v>152</v>
      </c>
      <c r="AR27" s="37">
        <f>AR25/7</f>
        <v>2142.857143</v>
      </c>
      <c r="AS27" s="37">
        <f>AS25/8</f>
        <v>750</v>
      </c>
      <c r="AT27" s="38">
        <v>0.0</v>
      </c>
      <c r="AU27" s="37">
        <f>AN31</f>
        <v>111.1111111</v>
      </c>
      <c r="AV27" s="37">
        <f>AR27+AS27+AT27+AU27</f>
        <v>3003.968254</v>
      </c>
    </row>
    <row r="28">
      <c r="A28" s="12">
        <v>46229.0</v>
      </c>
      <c r="B28" s="8">
        <v>2.0</v>
      </c>
      <c r="C28" s="8"/>
      <c r="D28" s="8">
        <v>2.0</v>
      </c>
      <c r="E28" s="8">
        <v>2.0</v>
      </c>
      <c r="F28" s="8">
        <v>7.0</v>
      </c>
      <c r="G28" s="8">
        <v>2.0</v>
      </c>
      <c r="H28" s="8">
        <v>2.0</v>
      </c>
      <c r="I28" s="7"/>
      <c r="J28" s="8">
        <v>2.0</v>
      </c>
      <c r="K28" s="8"/>
      <c r="M28" s="13">
        <v>46229.0</v>
      </c>
      <c r="N28" s="18">
        <f>500+2000+1000</f>
        <v>3500</v>
      </c>
      <c r="O28" s="3"/>
      <c r="P28" s="15" t="s">
        <v>165</v>
      </c>
      <c r="Q28" s="15" t="s">
        <v>166</v>
      </c>
      <c r="AK28" s="37"/>
      <c r="AL28" s="37"/>
      <c r="AM28" s="38" t="s">
        <v>10</v>
      </c>
      <c r="AN28" s="37">
        <f>AL25+AL26+AL27</f>
        <v>736.1111111</v>
      </c>
      <c r="AP28" s="40" t="s">
        <v>14</v>
      </c>
      <c r="AQ28" s="41" t="s">
        <v>152</v>
      </c>
      <c r="AR28" s="38">
        <v>0.0</v>
      </c>
      <c r="AS28" s="37">
        <f>AS25/8</f>
        <v>750</v>
      </c>
      <c r="AT28" s="37">
        <f>(AT25/6)*2</f>
        <v>666.6666667</v>
      </c>
      <c r="AU28" s="37">
        <f>(AN30*2)</f>
        <v>722.2222222</v>
      </c>
      <c r="AV28" s="37">
        <f>AS28+AT28+AU28+AR28</f>
        <v>2138.888889</v>
      </c>
    </row>
    <row r="29">
      <c r="A29" s="12">
        <v>46230.0</v>
      </c>
      <c r="B29" s="8">
        <v>2.0</v>
      </c>
      <c r="C29" s="8">
        <v>2.0</v>
      </c>
      <c r="D29" s="8">
        <v>2.0</v>
      </c>
      <c r="E29" s="8">
        <v>2.0</v>
      </c>
      <c r="F29" s="8"/>
      <c r="G29" s="8">
        <v>2.0</v>
      </c>
      <c r="H29" s="8"/>
      <c r="I29" s="8"/>
      <c r="J29" s="8">
        <v>2.0</v>
      </c>
      <c r="K29" s="8"/>
      <c r="M29" s="13">
        <v>46230.0</v>
      </c>
      <c r="N29" s="18"/>
      <c r="O29" s="3"/>
      <c r="P29" s="15"/>
      <c r="Q29" s="16"/>
      <c r="AK29" s="37"/>
      <c r="AL29" s="37"/>
      <c r="AM29" s="38" t="s">
        <v>14</v>
      </c>
      <c r="AN29" s="37">
        <f>AL26+AL27</f>
        <v>361.1111111</v>
      </c>
      <c r="AP29" s="40" t="s">
        <v>167</v>
      </c>
      <c r="AQ29" s="41" t="s">
        <v>152</v>
      </c>
      <c r="AR29" s="38">
        <v>0.0</v>
      </c>
      <c r="AS29" s="37">
        <f>AS25/8</f>
        <v>750</v>
      </c>
      <c r="AT29" s="38">
        <v>0.0</v>
      </c>
      <c r="AU29" s="37">
        <f>AN31</f>
        <v>111.1111111</v>
      </c>
      <c r="AV29" s="37">
        <f>SUM(AR29:AU29)</f>
        <v>861.1111111</v>
      </c>
    </row>
    <row r="30">
      <c r="A30" s="12">
        <v>46231.0</v>
      </c>
      <c r="B30" s="8">
        <v>2.0</v>
      </c>
      <c r="C30" s="8">
        <v>2.0</v>
      </c>
      <c r="D30" s="8">
        <v>2.0</v>
      </c>
      <c r="E30" s="8">
        <v>2.0</v>
      </c>
      <c r="F30" s="8"/>
      <c r="G30" s="8">
        <v>2.0</v>
      </c>
      <c r="H30" s="8"/>
      <c r="I30" s="8"/>
      <c r="J30" s="8">
        <v>2.0</v>
      </c>
      <c r="K30" s="8"/>
      <c r="M30" s="13">
        <v>46231.0</v>
      </c>
      <c r="N30" s="14"/>
      <c r="O30" s="3"/>
      <c r="P30" s="15"/>
      <c r="Q30" s="15"/>
      <c r="AK30" s="37"/>
      <c r="AL30" s="37"/>
      <c r="AM30" s="38" t="s">
        <v>132</v>
      </c>
      <c r="AN30" s="37">
        <f>AL26+AL27</f>
        <v>361.1111111</v>
      </c>
      <c r="AP30" s="37"/>
      <c r="AQ30" s="37"/>
      <c r="AR30" s="37"/>
      <c r="AS30" s="37"/>
      <c r="AT30" s="37"/>
      <c r="AU30" s="37"/>
      <c r="AV30" s="37"/>
    </row>
    <row r="31">
      <c r="A31" s="12">
        <v>46232.0</v>
      </c>
      <c r="B31" s="8">
        <v>2.0</v>
      </c>
      <c r="C31" s="8">
        <v>2.0</v>
      </c>
      <c r="D31" s="8">
        <v>2.0</v>
      </c>
      <c r="E31" s="8">
        <v>2.0</v>
      </c>
      <c r="F31" s="8"/>
      <c r="G31" s="8">
        <v>2.0</v>
      </c>
      <c r="H31" s="8"/>
      <c r="I31" s="8"/>
      <c r="J31" s="8">
        <v>2.0</v>
      </c>
      <c r="K31" s="8"/>
      <c r="M31" s="13">
        <v>46232.0</v>
      </c>
      <c r="N31" s="18"/>
      <c r="O31" s="3"/>
      <c r="P31" s="15"/>
      <c r="Q31" s="15"/>
      <c r="AK31" s="37"/>
      <c r="AL31" s="37"/>
      <c r="AM31" s="38" t="s">
        <v>12</v>
      </c>
      <c r="AN31" s="37">
        <f>AL27</f>
        <v>111.1111111</v>
      </c>
      <c r="AP31" s="37"/>
      <c r="AQ31" s="37"/>
      <c r="AR31" s="37"/>
      <c r="AS31" s="37"/>
      <c r="AT31" s="37"/>
      <c r="AU31" s="37"/>
      <c r="AV31" s="37"/>
    </row>
    <row r="32">
      <c r="A32" s="12">
        <v>46233.0</v>
      </c>
      <c r="B32" s="8"/>
      <c r="C32" s="8"/>
      <c r="D32" s="8"/>
      <c r="E32" s="8"/>
      <c r="F32" s="8"/>
      <c r="G32" s="8"/>
      <c r="H32" s="8"/>
      <c r="I32" s="7"/>
      <c r="J32" s="8"/>
      <c r="K32" s="8"/>
      <c r="M32" s="13">
        <v>46233.0</v>
      </c>
      <c r="N32" s="14"/>
      <c r="O32" s="3"/>
      <c r="P32" s="15"/>
      <c r="Q32" s="15"/>
      <c r="AK32" s="37"/>
      <c r="AL32" s="37"/>
      <c r="AM32" s="38" t="s">
        <v>168</v>
      </c>
      <c r="AN32" s="37">
        <f>AL27</f>
        <v>111.1111111</v>
      </c>
      <c r="AP32" s="37"/>
      <c r="AQ32" s="37"/>
      <c r="AR32" s="37"/>
      <c r="AS32" s="37"/>
      <c r="AT32" s="37"/>
      <c r="AU32" s="37"/>
      <c r="AV32" s="37"/>
    </row>
    <row r="33">
      <c r="A33" s="12">
        <v>46234.0</v>
      </c>
      <c r="B33" s="8"/>
      <c r="C33" s="8"/>
      <c r="D33" s="8"/>
      <c r="E33" s="8"/>
      <c r="F33" s="7"/>
      <c r="G33" s="8"/>
      <c r="H33" s="8"/>
      <c r="I33" s="8"/>
      <c r="J33" s="8"/>
      <c r="K33" s="8"/>
      <c r="M33" s="13">
        <v>46234.0</v>
      </c>
      <c r="N33" s="14"/>
      <c r="O33" s="3"/>
      <c r="P33" s="15"/>
      <c r="Q33" s="15"/>
      <c r="AK33" s="37"/>
      <c r="AL33" s="37"/>
      <c r="AM33" s="38" t="s">
        <v>110</v>
      </c>
      <c r="AN33" s="37">
        <f>AL27</f>
        <v>111.1111111</v>
      </c>
      <c r="AP33" s="37"/>
      <c r="AQ33" s="37"/>
      <c r="AR33" s="37"/>
      <c r="AS33" s="37"/>
      <c r="AT33" s="37"/>
      <c r="AU33" s="37"/>
      <c r="AV33" s="37"/>
    </row>
    <row r="34">
      <c r="A34" s="5" t="s">
        <v>46</v>
      </c>
      <c r="B34" s="22">
        <f t="shared" ref="B34:K34" si="12">SUM(B2:B33)</f>
        <v>57</v>
      </c>
      <c r="C34" s="22">
        <f t="shared" si="12"/>
        <v>51</v>
      </c>
      <c r="D34" s="22">
        <f t="shared" si="12"/>
        <v>55</v>
      </c>
      <c r="E34" s="22">
        <f t="shared" si="12"/>
        <v>55</v>
      </c>
      <c r="F34" s="22">
        <f t="shared" si="12"/>
        <v>7</v>
      </c>
      <c r="G34" s="22">
        <f t="shared" si="12"/>
        <v>43</v>
      </c>
      <c r="H34" s="22">
        <f t="shared" si="12"/>
        <v>11</v>
      </c>
      <c r="I34" s="22">
        <f t="shared" si="12"/>
        <v>0</v>
      </c>
      <c r="J34" s="22">
        <f t="shared" si="12"/>
        <v>63</v>
      </c>
      <c r="K34" s="22">
        <f t="shared" si="12"/>
        <v>0</v>
      </c>
      <c r="M34" s="9" t="s">
        <v>46</v>
      </c>
      <c r="N34" s="23">
        <f>SUM(N3:N33)</f>
        <v>18256</v>
      </c>
      <c r="O34" s="3"/>
      <c r="P34" s="24" t="s">
        <v>90</v>
      </c>
      <c r="Q34" s="16"/>
      <c r="AK34" s="37"/>
      <c r="AL34" s="37"/>
      <c r="AM34" s="38" t="s">
        <v>46</v>
      </c>
      <c r="AN34" s="37">
        <f>SUM(AN25:AN33)</f>
        <v>4000</v>
      </c>
      <c r="AP34" s="37"/>
      <c r="AQ34" s="37"/>
      <c r="AR34" s="37"/>
      <c r="AS34" s="37"/>
      <c r="AT34" s="37"/>
      <c r="AU34" s="37"/>
      <c r="AV34" s="37"/>
    </row>
    <row r="35">
      <c r="A35" s="25">
        <f>SUM(B34:K34)</f>
        <v>342</v>
      </c>
    </row>
    <row r="36">
      <c r="AP36" s="39" t="s">
        <v>169</v>
      </c>
      <c r="AQ36" s="39" t="s">
        <v>170</v>
      </c>
    </row>
    <row r="37">
      <c r="M37" s="26" t="s">
        <v>91</v>
      </c>
      <c r="N37" s="27">
        <f>(T13-N34)+'June 2026'!N37</f>
        <v>657.81</v>
      </c>
      <c r="P37" s="28" t="s">
        <v>90</v>
      </c>
      <c r="AP37" s="38" t="s">
        <v>6</v>
      </c>
      <c r="AQ37" s="37">
        <f>CEILING(AV26+AO20, 2)</f>
        <v>5470</v>
      </c>
      <c r="AS37" s="39" t="s">
        <v>171</v>
      </c>
      <c r="AT37" s="37">
        <f>AO20</f>
        <v>520.8035</v>
      </c>
    </row>
    <row r="38">
      <c r="AP38" s="38" t="s">
        <v>7</v>
      </c>
      <c r="AQ38" s="37">
        <f>Ceiling(AV26+AQ18, 2)</f>
        <v>6842</v>
      </c>
      <c r="AS38" s="39" t="s">
        <v>172</v>
      </c>
      <c r="AT38" s="37">
        <f>AQ18</f>
        <v>1892.5895</v>
      </c>
    </row>
    <row r="39">
      <c r="AP39" s="38" t="s">
        <v>168</v>
      </c>
      <c r="AQ39" s="37">
        <f>Ceiling(AV29+AO20, 2)</f>
        <v>1382</v>
      </c>
      <c r="AS39" s="42" t="s">
        <v>173</v>
      </c>
      <c r="AT39" s="43"/>
    </row>
    <row r="40">
      <c r="AP40" s="38" t="s">
        <v>110</v>
      </c>
      <c r="AQ40" s="37">
        <f>CEILING(AV29+AO20, 2)</f>
        <v>1382</v>
      </c>
      <c r="AS40" s="44"/>
      <c r="AT40" s="45"/>
    </row>
    <row r="41">
      <c r="AP41" s="38" t="s">
        <v>12</v>
      </c>
      <c r="AQ41" s="37">
        <f>Ceiling(AV27+AL18,1)</f>
        <v>3964</v>
      </c>
      <c r="AS41" s="39" t="s">
        <v>174</v>
      </c>
      <c r="AT41" s="37">
        <f>AL18</f>
        <v>959.45976</v>
      </c>
    </row>
    <row r="42">
      <c r="AP42" s="38" t="s">
        <v>11</v>
      </c>
      <c r="AQ42" s="37">
        <f>Ceiling(AV26+AJ20,1)</f>
        <v>5352</v>
      </c>
      <c r="AS42" s="39" t="s">
        <v>175</v>
      </c>
      <c r="AT42" s="37">
        <f>AJ20</f>
        <v>402.88506</v>
      </c>
    </row>
    <row r="43">
      <c r="AP43" s="38" t="s">
        <v>10</v>
      </c>
      <c r="AQ43" s="37">
        <f>Ceiling(AV26+AJ20,1)</f>
        <v>5352</v>
      </c>
    </row>
    <row r="44">
      <c r="AP44" s="38" t="s">
        <v>14</v>
      </c>
      <c r="AQ44" s="37">
        <f>Ceiling(AV28+AJ20,1)</f>
        <v>2542</v>
      </c>
    </row>
  </sheetData>
  <mergeCells count="47">
    <mergeCell ref="A1:K1"/>
    <mergeCell ref="S1:U1"/>
    <mergeCell ref="W1:Y1"/>
    <mergeCell ref="AA1:AE1"/>
    <mergeCell ref="AG1:AN1"/>
    <mergeCell ref="AP1:AR1"/>
    <mergeCell ref="AT1:AW1"/>
    <mergeCell ref="AG3:AG5"/>
    <mergeCell ref="AG6:AG10"/>
    <mergeCell ref="AN6:AN10"/>
    <mergeCell ref="M1:Q1"/>
    <mergeCell ref="N2:O2"/>
    <mergeCell ref="N3:O3"/>
    <mergeCell ref="AN3:AN5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37:O37"/>
    <mergeCell ref="AS39:AT40"/>
    <mergeCell ref="N28:O28"/>
    <mergeCell ref="N29:O29"/>
    <mergeCell ref="N30:O30"/>
    <mergeCell ref="N31:O31"/>
    <mergeCell ref="N32:O32"/>
    <mergeCell ref="N33:O33"/>
    <mergeCell ref="N34:O34"/>
  </mergeCells>
  <conditionalFormatting sqref="AE3:AE12">
    <cfRule type="cellIs" dxfId="0" priority="1" operator="greaterThan">
      <formula>0</formula>
    </cfRule>
  </conditionalFormatting>
  <conditionalFormatting sqref="AE3:AE12">
    <cfRule type="cellIs" dxfId="1" priority="2" operator="equal">
      <formula>0</formula>
    </cfRule>
  </conditionalFormatting>
  <conditionalFormatting sqref="AE3:AE12">
    <cfRule type="cellIs" dxfId="2" priority="3" operator="lessThan">
      <formula>0</formula>
    </cfRule>
  </conditionalFormatting>
  <drawing r:id="rId1"/>
</worksheet>
</file>